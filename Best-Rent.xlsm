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חוברת_עבודה_זו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-W10\Desktop\"/>
    </mc:Choice>
  </mc:AlternateContent>
  <xr:revisionPtr revIDLastSave="0" documentId="13_ncr:1_{A886028B-989D-4BE2-9CFA-301CA768DAF1}" xr6:coauthVersionLast="47" xr6:coauthVersionMax="47" xr10:uidLastSave="{00000000-0000-0000-0000-000000000000}"/>
  <bookViews>
    <workbookView xWindow="-108" yWindow="-108" windowWidth="23256" windowHeight="12576" tabRatio="927" activeTab="11" xr2:uid="{139EBEEA-80F1-45F6-85EB-11CFC036DBCD}"/>
  </bookViews>
  <sheets>
    <sheet name="Propeties-DB" sheetId="17" r:id="rId1"/>
    <sheet name="Mangers-DB" sheetId="2" r:id="rId2"/>
    <sheet name="Clients-DB" sheetId="3" r:id="rId3"/>
    <sheet name="Rentals-DB" sheetId="4" r:id="rId4"/>
    <sheet name="Alerts &amp; Reminders-DB" sheetId="5" r:id="rId5"/>
    <sheet name="Income&amp;Expenses-DB" sheetId="9" r:id="rId6"/>
    <sheet name="Chart1" sheetId="19" r:id="rId7"/>
    <sheet name="Chart2" sheetId="24" r:id="rId8"/>
    <sheet name="Chart3" sheetId="25" r:id="rId9"/>
    <sheet name="Chart4" sheetId="22" r:id="rId10"/>
    <sheet name="Chart5" sheetId="28" r:id="rId11"/>
    <sheet name="גרפים" sheetId="29" r:id="rId12"/>
    <sheet name="DATA_ANALAYS" sheetId="6" r:id="rId13"/>
    <sheet name="Report" sheetId="8" r:id="rId14"/>
  </sheets>
  <calcPr calcId="191029" concurrentCalc="0"/>
  <pivotCaches>
    <pivotCache cacheId="0" r:id="rId15"/>
    <pivotCache cacheId="1" r:id="rId16"/>
    <pivotCache cacheId="2" r:id="rId17"/>
    <pivotCache cacheId="3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5" l="1"/>
  <c r="E5" i="25"/>
  <c r="E6" i="25"/>
  <c r="E7" i="25"/>
  <c r="E8" i="25"/>
  <c r="E9" i="25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29" i="8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4" i="3"/>
  <c r="F3" i="3"/>
  <c r="F2" i="3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5" i="2"/>
  <c r="H4" i="2"/>
  <c r="H3" i="2"/>
  <c r="H2" i="2"/>
</calcChain>
</file>

<file path=xl/sharedStrings.xml><?xml version="1.0" encoding="utf-8"?>
<sst xmlns="http://schemas.openxmlformats.org/spreadsheetml/2006/main" count="1701" uniqueCount="535">
  <si>
    <t>מספר סידורי</t>
  </si>
  <si>
    <t>מספר זיהוי</t>
  </si>
  <si>
    <t>סוג הנכס</t>
  </si>
  <si>
    <t>תאריך רכישה</t>
  </si>
  <si>
    <t>אזור</t>
  </si>
  <si>
    <t>עיר</t>
  </si>
  <si>
    <t>רחוב</t>
  </si>
  <si>
    <t>הוצאה חודשית</t>
  </si>
  <si>
    <t>שווי הנכס</t>
  </si>
  <si>
    <t>דירת מגורים</t>
  </si>
  <si>
    <t>דרום</t>
  </si>
  <si>
    <t>אילת</t>
  </si>
  <si>
    <t>אלישע 10</t>
  </si>
  <si>
    <t>משרד</t>
  </si>
  <si>
    <t>תל - חי 63</t>
  </si>
  <si>
    <t>טרומפלדור 6</t>
  </si>
  <si>
    <t>נטף 5</t>
  </si>
  <si>
    <t>אשקלון</t>
  </si>
  <si>
    <t>חזון איש 12</t>
  </si>
  <si>
    <t>מרכז</t>
  </si>
  <si>
    <t>בני ברק</t>
  </si>
  <si>
    <t>השח"ל 2</t>
  </si>
  <si>
    <t>המכבים 88</t>
  </si>
  <si>
    <t>הצבי 6</t>
  </si>
  <si>
    <t>רחל המשוררת 91</t>
  </si>
  <si>
    <t>הגורן 3</t>
  </si>
  <si>
    <t>גדרה</t>
  </si>
  <si>
    <t>רבי עובדיה 21</t>
  </si>
  <si>
    <t>עוזי נרקיס 111</t>
  </si>
  <si>
    <t>הוד השרון</t>
  </si>
  <si>
    <t>תל חי 45</t>
  </si>
  <si>
    <t>תל חי 46</t>
  </si>
  <si>
    <t>הרצליה</t>
  </si>
  <si>
    <t>רחל המשוררת 13</t>
  </si>
  <si>
    <t>רחל המשוררת 14</t>
  </si>
  <si>
    <t>רחל המשוררת 15</t>
  </si>
  <si>
    <t>צפון</t>
  </si>
  <si>
    <t>זכרון יעקב</t>
  </si>
  <si>
    <t>יששכר 18</t>
  </si>
  <si>
    <t>יצחק שמיר 26</t>
  </si>
  <si>
    <t>חדרה</t>
  </si>
  <si>
    <t>פיטרקובסקי 73</t>
  </si>
  <si>
    <t>חולון</t>
  </si>
  <si>
    <t>שומשום 98</t>
  </si>
  <si>
    <t>חיפה</t>
  </si>
  <si>
    <t>רמב"ם 2</t>
  </si>
  <si>
    <t>רמב"ם 3</t>
  </si>
  <si>
    <t>חצור הגלילית</t>
  </si>
  <si>
    <t>נווה החרש 82</t>
  </si>
  <si>
    <t>טבריה</t>
  </si>
  <si>
    <t>יא הספורטאים 59</t>
  </si>
  <si>
    <t>שמואל הנביא 70</t>
  </si>
  <si>
    <t>שמואל הנביא 71</t>
  </si>
  <si>
    <t>שמואל הנביא 72</t>
  </si>
  <si>
    <t>שמואל הנביא 73</t>
  </si>
  <si>
    <t>שמואל הנביא 74</t>
  </si>
  <si>
    <t>שמואל הנביא 75</t>
  </si>
  <si>
    <t>יעלה 78</t>
  </si>
  <si>
    <t>יבנה</t>
  </si>
  <si>
    <t>גינת השועלים 39</t>
  </si>
  <si>
    <t>יוקנעם</t>
  </si>
  <si>
    <t>גלילאו 50</t>
  </si>
  <si>
    <t>ירושלים</t>
  </si>
  <si>
    <t>הרב קוק 7</t>
  </si>
  <si>
    <t>שדרות הנשיא 19</t>
  </si>
  <si>
    <t>שדרות הנשיא 20</t>
  </si>
  <si>
    <t>שדרות הנשיא 21</t>
  </si>
  <si>
    <t>שדרות הנשיא 22</t>
  </si>
  <si>
    <t>שדרות הנשיא 23</t>
  </si>
  <si>
    <t>שדרות הנשיא 24</t>
  </si>
  <si>
    <t>שדרות הנשיא 25</t>
  </si>
  <si>
    <t>שדרות הנשיא 26</t>
  </si>
  <si>
    <t>שדרות הנשיא 27</t>
  </si>
  <si>
    <t>כפר סבא</t>
  </si>
  <si>
    <t>ויצמן 124</t>
  </si>
  <si>
    <t>ויצמן 125</t>
  </si>
  <si>
    <t>ויצמן 126</t>
  </si>
  <si>
    <t>ויצמן 127</t>
  </si>
  <si>
    <t>ויצמן 128</t>
  </si>
  <si>
    <t>דוד המלך 51</t>
  </si>
  <si>
    <t>הגלגל 32</t>
  </si>
  <si>
    <t>כרמיאל</t>
  </si>
  <si>
    <t>שמחה 88</t>
  </si>
  <si>
    <t>מעלה אפרים</t>
  </si>
  <si>
    <t>אחוזה 12</t>
  </si>
  <si>
    <t>בן דוד 58</t>
  </si>
  <si>
    <t>מצפה רמון</t>
  </si>
  <si>
    <t>פיטרקובסקי 20</t>
  </si>
  <si>
    <t>נהריה</t>
  </si>
  <si>
    <t>טשרניחובסקי 50</t>
  </si>
  <si>
    <t>מאיר אריאל 66</t>
  </si>
  <si>
    <t>נהוראי 81</t>
  </si>
  <si>
    <t>נתיבות</t>
  </si>
  <si>
    <t>מבצע יהונתן 39</t>
  </si>
  <si>
    <t>ניל"י 29</t>
  </si>
  <si>
    <t>רבי עקיבא 17</t>
  </si>
  <si>
    <t>בן עזאי 1</t>
  </si>
  <si>
    <t>נתניה</t>
  </si>
  <si>
    <t>הבנים 78</t>
  </si>
  <si>
    <t>עפולה</t>
  </si>
  <si>
    <t>רמב"ם 13</t>
  </si>
  <si>
    <t>מח"ל 6</t>
  </si>
  <si>
    <t>ראובן 49</t>
  </si>
  <si>
    <t>ירמיהו 26</t>
  </si>
  <si>
    <t>ערד</t>
  </si>
  <si>
    <t>יד לבנים 73</t>
  </si>
  <si>
    <t>פרדס חנה</t>
  </si>
  <si>
    <t>וניצ'י 56</t>
  </si>
  <si>
    <t>פתח תקווה</t>
  </si>
  <si>
    <t>חשב סופר 26</t>
  </si>
  <si>
    <t>חשב סופר 27</t>
  </si>
  <si>
    <t>צפת</t>
  </si>
  <si>
    <t>בנימין 14</t>
  </si>
  <si>
    <t>מתיתיהו 69</t>
  </si>
  <si>
    <t>קיסריה</t>
  </si>
  <si>
    <t>יונה הנביא 8</t>
  </si>
  <si>
    <t>בן - גוריון 84</t>
  </si>
  <si>
    <t>שושנה 5</t>
  </si>
  <si>
    <t>שלושת הבנים 51</t>
  </si>
  <si>
    <t>קצרין</t>
  </si>
  <si>
    <t>הרב קוק 33</t>
  </si>
  <si>
    <t>אבחוצירא 31</t>
  </si>
  <si>
    <t>קריות</t>
  </si>
  <si>
    <t>גרינזברג 37</t>
  </si>
  <si>
    <t>קריית גת</t>
  </si>
  <si>
    <t>העליה 74</t>
  </si>
  <si>
    <t>ראש העין</t>
  </si>
  <si>
    <t>רב צעיר 4</t>
  </si>
  <si>
    <t>החלוצים 48</t>
  </si>
  <si>
    <t>אנה פרנק 9</t>
  </si>
  <si>
    <t>פינטו 62</t>
  </si>
  <si>
    <t>רמת גן</t>
  </si>
  <si>
    <t>רש"י 2</t>
  </si>
  <si>
    <t>שמעון 24</t>
  </si>
  <si>
    <t>רמת השרון</t>
  </si>
  <si>
    <t>שמשון 22</t>
  </si>
  <si>
    <t>השח"ל 1</t>
  </si>
  <si>
    <t>מסילת ישרים 8</t>
  </si>
  <si>
    <t>רוטשילד 11</t>
  </si>
  <si>
    <t>מכביה 33</t>
  </si>
  <si>
    <t>רעננה</t>
  </si>
  <si>
    <t>חצר המלכה 33</t>
  </si>
  <si>
    <t>שלמה המלך 73</t>
  </si>
  <si>
    <t>שדרות</t>
  </si>
  <si>
    <t>הכרמל 17</t>
  </si>
  <si>
    <t>טרומפלדור 5</t>
  </si>
  <si>
    <t>יהודה המכבי 77</t>
  </si>
  <si>
    <t>תל אביב</t>
  </si>
  <si>
    <t>שנקין 28</t>
  </si>
  <si>
    <t>שנקין 29</t>
  </si>
  <si>
    <t>שם המנהל</t>
  </si>
  <si>
    <t>טלפון</t>
  </si>
  <si>
    <t>מייל</t>
  </si>
  <si>
    <t>עיר מגורים</t>
  </si>
  <si>
    <t>ת"ז</t>
  </si>
  <si>
    <t>תאריך לידה</t>
  </si>
  <si>
    <t>גיל</t>
  </si>
  <si>
    <t>דמי ניהול ליחידה</t>
  </si>
  <si>
    <t>בניה ביתן</t>
  </si>
  <si>
    <t>BENYA64@GMAIL.COM</t>
  </si>
  <si>
    <t>דוד יהלומי</t>
  </si>
  <si>
    <t>DAVIDYH39@GMAIL.COM</t>
  </si>
  <si>
    <t>אלישע יעקבי</t>
  </si>
  <si>
    <t>ELISHA632@GMAIL.COM</t>
  </si>
  <si>
    <t>יוסי עמרמי</t>
  </si>
  <si>
    <t>YOSI526@GMAIL.COM</t>
  </si>
  <si>
    <t>דנה לוי</t>
  </si>
  <si>
    <t>DANA794@GMAIL.COM</t>
  </si>
  <si>
    <t>20/01/1988</t>
  </si>
  <si>
    <t>בני וולקן</t>
  </si>
  <si>
    <t>BENIW0238@GMAIL.COM</t>
  </si>
  <si>
    <t>דוד סיבוני</t>
  </si>
  <si>
    <t>DAVIDSIB49@GMAIL.COM</t>
  </si>
  <si>
    <t>רבקה דמרי</t>
  </si>
  <si>
    <t>REBKAD@GMAIL.COM</t>
  </si>
  <si>
    <t>שמחה אטיאס</t>
  </si>
  <si>
    <t>ATIAS134@GMAIL.COM</t>
  </si>
  <si>
    <t>דוד תורג'מן</t>
  </si>
  <si>
    <t>DAVIDTR8@GMAIL.COM</t>
  </si>
  <si>
    <t>ורדה כהן</t>
  </si>
  <si>
    <t>VARDA73@GMAIL.COM</t>
  </si>
  <si>
    <t>אביבה כהן</t>
  </si>
  <si>
    <t>AVIVACH4@GMAIL.COM</t>
  </si>
  <si>
    <t>שמעון בסה</t>
  </si>
  <si>
    <t>SHIMON51@GMAIL.COM</t>
  </si>
  <si>
    <t>משה שרביט</t>
  </si>
  <si>
    <t>MOSHESH39@GMAIL.COM</t>
  </si>
  <si>
    <t>שמרית קוממי</t>
  </si>
  <si>
    <t>SHIMRIT91@GMAIL.COM</t>
  </si>
  <si>
    <t>יונית סרוסי</t>
  </si>
  <si>
    <t>YONIT628@GMAIL.COM</t>
  </si>
  <si>
    <t>אחיטוב גדליה</t>
  </si>
  <si>
    <t>AHITOVGD@GMAIL.COM</t>
  </si>
  <si>
    <t>נעמה קופיצקי</t>
  </si>
  <si>
    <t>NAMAK88@GMAIL.COM</t>
  </si>
  <si>
    <t>אהובה תנעמי</t>
  </si>
  <si>
    <t>TANAMI82@GMAIL.COM</t>
  </si>
  <si>
    <t>מאיר קנטן</t>
  </si>
  <si>
    <t>MEIR923@GMAIL.COM</t>
  </si>
  <si>
    <t>שלומי בן חיים</t>
  </si>
  <si>
    <t>SHLOMI340@GMAIL.COM</t>
  </si>
  <si>
    <t>נריה אבידן</t>
  </si>
  <si>
    <t>NERIYA94@GMAIL.COM</t>
  </si>
  <si>
    <t>חיים לבייב</t>
  </si>
  <si>
    <t>HAIM54@GMAIL.COM</t>
  </si>
  <si>
    <t>אברהם ימיני</t>
  </si>
  <si>
    <t>AVRHAM09@GMAIL.COM</t>
  </si>
  <si>
    <t>נתנאל סבג</t>
  </si>
  <si>
    <t>NETANEL12@GMAIL.COM</t>
  </si>
  <si>
    <t>אריאל חסטר</t>
  </si>
  <si>
    <t>ARIEL238@GMAIL.COM</t>
  </si>
  <si>
    <t>יפית חכמוני</t>
  </si>
  <si>
    <t>YAFITHA41@GMAIL.COM</t>
  </si>
  <si>
    <t>שושנה פנט</t>
  </si>
  <si>
    <t>SOSHANA5@GMAIL.COM</t>
  </si>
  <si>
    <t>סעדיה נבון</t>
  </si>
  <si>
    <t>SADIANA47@GMAIL.COM</t>
  </si>
  <si>
    <t>יוסף בר ששת</t>
  </si>
  <si>
    <t>YOSEFB91@GMAIL.COM</t>
  </si>
  <si>
    <t>אלעד אריה</t>
  </si>
  <si>
    <t>ELADAR76@GMAIL.COM</t>
  </si>
  <si>
    <t>אביתר משעלי</t>
  </si>
  <si>
    <t>EVIATA24@GMAIL.COM</t>
  </si>
  <si>
    <t>שמואל שרייבר</t>
  </si>
  <si>
    <t>SHEMOEL2@GMAIL.COM</t>
  </si>
  <si>
    <t>עמית כהן</t>
  </si>
  <si>
    <t>AMITCHO23@GMAIL.COM</t>
  </si>
  <si>
    <t>עמיחי טאוב</t>
  </si>
  <si>
    <t>AMIHAI84@GMAIL.COM</t>
  </si>
  <si>
    <t>הראל יחיאל</t>
  </si>
  <si>
    <t>HRAEL819@GMAIL.COM</t>
  </si>
  <si>
    <t>ניר טבורי</t>
  </si>
  <si>
    <t>NIERTABO3@GMAIL.COM</t>
  </si>
  <si>
    <t>יוסי דוידוב</t>
  </si>
  <si>
    <t>YOSI3423@GMAIL.COM</t>
  </si>
  <si>
    <t>זמרי וולקן</t>
  </si>
  <si>
    <t>ZEMRI128@GMAIL.COM</t>
  </si>
  <si>
    <t>אביב כוכבי</t>
  </si>
  <si>
    <t>AVIV28@GMAIL.COM</t>
  </si>
  <si>
    <t>דימונה</t>
  </si>
  <si>
    <t>יהושוע שפירא</t>
  </si>
  <si>
    <t>Y544@GMAIL.COM</t>
  </si>
  <si>
    <t>אלישמע ויסמן</t>
  </si>
  <si>
    <t>ALI45@GMAIL.COM</t>
  </si>
  <si>
    <t>אחינועם ספאני</t>
  </si>
  <si>
    <t>AHINOAM8@GMAIL.COM</t>
  </si>
  <si>
    <t>זקרי ויצמן</t>
  </si>
  <si>
    <t>ZAKRI777@GMAIL.COM</t>
  </si>
  <si>
    <t>נתמאל דמלין</t>
  </si>
  <si>
    <t>NETANAELD9@GMAIL.COM</t>
  </si>
  <si>
    <t>יוחנן אטון</t>
  </si>
  <si>
    <t>YOHANA11@GMAIL.COM</t>
  </si>
  <si>
    <t>צוריאל חריר</t>
  </si>
  <si>
    <t>TZORIAL63@GMAIL.COM</t>
  </si>
  <si>
    <t>מלכיאל חזן</t>
  </si>
  <si>
    <t>MALCIAL74@GMAIL.COM</t>
  </si>
  <si>
    <t>נתי שרגא</t>
  </si>
  <si>
    <t>NATI753@GMAIL.COM</t>
  </si>
  <si>
    <t>קובי בן - עזרא</t>
  </si>
  <si>
    <t>KOBI79@GMAIL.COM</t>
  </si>
  <si>
    <t>יוסי ויצמן</t>
  </si>
  <si>
    <t>YOSI7272@GMAIL.COM</t>
  </si>
  <si>
    <t>אשר מנקין</t>
  </si>
  <si>
    <t>ASHER88@GMAIL.COM</t>
  </si>
  <si>
    <t>עמית ששון</t>
  </si>
  <si>
    <t>AMITSASONN@GMAIL.COM</t>
  </si>
  <si>
    <t>שם</t>
  </si>
  <si>
    <t>נריה כהן</t>
  </si>
  <si>
    <t>NERIA11@GMAIL.COM</t>
  </si>
  <si>
    <t>מאור לסקר</t>
  </si>
  <si>
    <t>MAOR43@GMAIL.COM</t>
  </si>
  <si>
    <t>עידו נברו</t>
  </si>
  <si>
    <t>IDO794@GMAIL.COM</t>
  </si>
  <si>
    <t>גיל פרידמן</t>
  </si>
  <si>
    <t>GIL238@GMAIL.COM</t>
  </si>
  <si>
    <t>דניאלה גרוס</t>
  </si>
  <si>
    <t>DANIALA49@GMAIL.COM</t>
  </si>
  <si>
    <t>נעמה קומאן</t>
  </si>
  <si>
    <t>NAMA@GMAIL.COM</t>
  </si>
  <si>
    <t>רחל איפרגן</t>
  </si>
  <si>
    <t>RAHEL32@GMAIL.COM</t>
  </si>
  <si>
    <t>שירה צבעוני</t>
  </si>
  <si>
    <t>SHIRA23@GMAIL.COM</t>
  </si>
  <si>
    <t>נופר לוי</t>
  </si>
  <si>
    <t>NOFAR55@GMAIL.COM</t>
  </si>
  <si>
    <t>ניתן אהרון</t>
  </si>
  <si>
    <t>NITAN9@GMAIL.COM</t>
  </si>
  <si>
    <t>נריה הדר</t>
  </si>
  <si>
    <t>NERIA773@GMAIL.COM</t>
  </si>
  <si>
    <t>יאיר שיפר</t>
  </si>
  <si>
    <t>YAIR73@GMAIL.COM</t>
  </si>
  <si>
    <t>בנימין דמרי</t>
  </si>
  <si>
    <t>BENIAMIN46@GMAIL.COM</t>
  </si>
  <si>
    <t>הלל רטיג</t>
  </si>
  <si>
    <t>HILLEL0@GMAIL.COM</t>
  </si>
  <si>
    <t>אביטל מדמון</t>
  </si>
  <si>
    <t>AVITAL43@GMAIL.COM</t>
  </si>
  <si>
    <t>בנימין אהרון</t>
  </si>
  <si>
    <t>BENIAMIN13@GMAIL.COM</t>
  </si>
  <si>
    <t>יוסי סרי</t>
  </si>
  <si>
    <t>YOSI4@GMAIL.COM</t>
  </si>
  <si>
    <t xml:space="preserve"> </t>
  </si>
  <si>
    <t>יהודית שלר</t>
  </si>
  <si>
    <t>YEHODIT73@GMAIL.COM</t>
  </si>
  <si>
    <t>נועה כהן</t>
  </si>
  <si>
    <t>NOACHOEN@GMAIL.COM</t>
  </si>
  <si>
    <t>רפאל אלמגור</t>
  </si>
  <si>
    <t>REFAEL41@GMAIL.COM</t>
  </si>
  <si>
    <t>רבקה שביט</t>
  </si>
  <si>
    <t>REBEKA11@GMAIL.COM</t>
  </si>
  <si>
    <t>בני ברט</t>
  </si>
  <si>
    <t>BENI64@GMAIL.COM</t>
  </si>
  <si>
    <t>שמעון גוברין</t>
  </si>
  <si>
    <t>SHIMON16@GMAIL.COM</t>
  </si>
  <si>
    <t>יואב הרוש</t>
  </si>
  <si>
    <t>YOAV46@GMAIL.COM</t>
  </si>
  <si>
    <t>דנה עודי</t>
  </si>
  <si>
    <t>DANA95@GMAIL.COM</t>
  </si>
  <si>
    <t>לאה שלום</t>
  </si>
  <si>
    <t>LEA42@GMAIL.COM</t>
  </si>
  <si>
    <t>יהונותן נאמן</t>
  </si>
  <si>
    <t>YEHONATAN18@GMAIL.COM</t>
  </si>
  <si>
    <t>רבקה גיאת</t>
  </si>
  <si>
    <t>יפעת גורמן</t>
  </si>
  <si>
    <t>YEFAT@GMAIL.COM</t>
  </si>
  <si>
    <t>רועי פוקס</t>
  </si>
  <si>
    <t>ROYEI@GMAIL.COM</t>
  </si>
  <si>
    <t>שאול שער</t>
  </si>
  <si>
    <t>SHAOL@GMAIL.COM</t>
  </si>
  <si>
    <t>חן סרי</t>
  </si>
  <si>
    <t>HEN5@GMAIL.COM</t>
  </si>
  <si>
    <t>נוגה לסקר</t>
  </si>
  <si>
    <t>NOGA6@GMAIL.COM</t>
  </si>
  <si>
    <t>משה כהן</t>
  </si>
  <si>
    <t>MOSHE48@GMAIL.COM</t>
  </si>
  <si>
    <t>אביחי קואן</t>
  </si>
  <si>
    <t>AVIHAI4@GMAIL.COM</t>
  </si>
  <si>
    <t>יהודה גראוס</t>
  </si>
  <si>
    <t>YEHODA0@GMAIL.COM</t>
  </si>
  <si>
    <t>יואל אהרונוביץ</t>
  </si>
  <si>
    <t>YOEL4@GMAIL.COM</t>
  </si>
  <si>
    <t>בני מסמי</t>
  </si>
  <si>
    <t>BENI7@GMAIL.COM</t>
  </si>
  <si>
    <t>נתאי הלל</t>
  </si>
  <si>
    <t>NATI8@GMAIL.COM</t>
  </si>
  <si>
    <t>יעל אלמוגי</t>
  </si>
  <si>
    <t>YAEL2@GMAIL.COM</t>
  </si>
  <si>
    <t>חיים נתניהו</t>
  </si>
  <si>
    <t>HAUM946@GMAIL.COM</t>
  </si>
  <si>
    <t>הדר אלמגור</t>
  </si>
  <si>
    <t>HADAR111@GMAIL.COM</t>
  </si>
  <si>
    <t>נגה לוי</t>
  </si>
  <si>
    <t>NOGA62@GMAIL.COM</t>
  </si>
  <si>
    <t>הדר ימיני</t>
  </si>
  <si>
    <t>HADAR81@GMAIL.COM</t>
  </si>
  <si>
    <t>אריאל אביב</t>
  </si>
  <si>
    <t>ARIEL8@GMAIL.COM</t>
  </si>
  <si>
    <t>דניאלה טסה</t>
  </si>
  <si>
    <t>TASA6@GMAIL.COM</t>
  </si>
  <si>
    <t>יאיר שלישמן</t>
  </si>
  <si>
    <t>YAIR22@GMAIL.COM</t>
  </si>
  <si>
    <t>שרה וולפסון</t>
  </si>
  <si>
    <t>SARA99@GMAIL.COM</t>
  </si>
  <si>
    <t>דוד נחמני</t>
  </si>
  <si>
    <t>DAVID44@GMAIL.COM</t>
  </si>
  <si>
    <t>אבישי אליאב</t>
  </si>
  <si>
    <t>AVISHAI33@GMAIL.COM</t>
  </si>
  <si>
    <t>עודד אמיר</t>
  </si>
  <si>
    <t>ODED77@GMAIL.COM</t>
  </si>
  <si>
    <t>רוני אביבי</t>
  </si>
  <si>
    <t>RONI11@GMAIL.COM</t>
  </si>
  <si>
    <t>שיר תמיר</t>
  </si>
  <si>
    <t>SHIR66@GMAIL.COM</t>
  </si>
  <si>
    <t>ספיר גנץ</t>
  </si>
  <si>
    <t>SAPIR21@GMAIL.COM</t>
  </si>
  <si>
    <t>אוריה  מורד</t>
  </si>
  <si>
    <t>ORIA92@GMAIL.COM</t>
  </si>
  <si>
    <t>אביב כהן</t>
  </si>
  <si>
    <t>AVIV73@GMAIL.COM</t>
  </si>
  <si>
    <t>עופר ברלב</t>
  </si>
  <si>
    <t>OFER64@GMAIL.COM</t>
  </si>
  <si>
    <t>חן אברהם</t>
  </si>
  <si>
    <t>HEN45@GMAIL.COM</t>
  </si>
  <si>
    <t>מלאכי גורן</t>
  </si>
  <si>
    <t>GOREN16@GMAIL.COM</t>
  </si>
  <si>
    <t>אריאל רבינוביץ</t>
  </si>
  <si>
    <t>ARIEL74@GMAIL.COM</t>
  </si>
  <si>
    <t>עידו לוי</t>
  </si>
  <si>
    <t>IDO29@GMAIL.COM</t>
  </si>
  <si>
    <t>גלעד רביד</t>
  </si>
  <si>
    <t>GELAD36@GMAIL.COM</t>
  </si>
  <si>
    <t>גל  שמעון</t>
  </si>
  <si>
    <t>GAL1@GMAIL.COM</t>
  </si>
  <si>
    <t>נעה קולמן</t>
  </si>
  <si>
    <t>NOA794@GMAIL.COM</t>
  </si>
  <si>
    <t>נדב משה</t>
  </si>
  <si>
    <t>NADAV36@GMAIL.COM</t>
  </si>
  <si>
    <t>יונתן גולדברג</t>
  </si>
  <si>
    <t>YONATAN5@GMAIL.COM</t>
  </si>
  <si>
    <t>אביבה שרעבי</t>
  </si>
  <si>
    <t>AVIVA65@GMAIL.COM</t>
  </si>
  <si>
    <t>פנינה חן</t>
  </si>
  <si>
    <t>PNINA84@GMAIL.COM</t>
  </si>
  <si>
    <t>אביה דוד</t>
  </si>
  <si>
    <t>AVIA34@GMAIL.COM</t>
  </si>
  <si>
    <t>אביתר לסרי</t>
  </si>
  <si>
    <t>AVIETAR@GMAIL.COM</t>
  </si>
  <si>
    <t>ורדית ולדשטיין</t>
  </si>
  <si>
    <t>VARDIT34@GMAIL.COM</t>
  </si>
  <si>
    <t>נפתלי גליקמן</t>
  </si>
  <si>
    <t>NAFTALI61@GMAIL.COM</t>
  </si>
  <si>
    <t>נאור חדד</t>
  </si>
  <si>
    <t>NAOR46@GMAIL.COM</t>
  </si>
  <si>
    <t>אליה קינסבורסקי</t>
  </si>
  <si>
    <t>ALIEA23@GMAIL.COM</t>
  </si>
  <si>
    <t>שני שוורץ</t>
  </si>
  <si>
    <t>SHANI45@GMAIL.COM</t>
  </si>
  <si>
    <t>טל קורנפלד</t>
  </si>
  <si>
    <t>TAL70@GMAIL.COM</t>
  </si>
  <si>
    <t>תומר בן הרוש</t>
  </si>
  <si>
    <t>TOMER16@GMAIL.COM</t>
  </si>
  <si>
    <t>אביטל לוי</t>
  </si>
  <si>
    <t>עמיחי צור</t>
  </si>
  <si>
    <t>TZOR333@GMAIL.COM</t>
  </si>
  <si>
    <t>אחיה ממן</t>
  </si>
  <si>
    <t>AHIA14@GMAIL.COM</t>
  </si>
  <si>
    <t>נטע רקח</t>
  </si>
  <si>
    <t>NETA70@GMAIL.COM</t>
  </si>
  <si>
    <t>עודד ברנוביץ</t>
  </si>
  <si>
    <t>ODED13@GMAIL.COM</t>
  </si>
  <si>
    <t>איילת מייסון</t>
  </si>
  <si>
    <t>AYELT060@GMAIL.COM</t>
  </si>
  <si>
    <t>נעמי ברהנולץ</t>
  </si>
  <si>
    <t>NAOMI58@GMAIL.COM</t>
  </si>
  <si>
    <t>הדר ספיר</t>
  </si>
  <si>
    <t>HADAR53@GMAIL.COM</t>
  </si>
  <si>
    <t>שושי נגר</t>
  </si>
  <si>
    <t>SOSI49@GMAIL.COM</t>
  </si>
  <si>
    <t>אירית מועלמי</t>
  </si>
  <si>
    <t>IRIT40@GMAIL.COM</t>
  </si>
  <si>
    <t>אליסף פכלר</t>
  </si>
  <si>
    <t>ALISAF10@GMAIL.COM</t>
  </si>
  <si>
    <t>דביר פרץ</t>
  </si>
  <si>
    <t>מספר חוזה</t>
  </si>
  <si>
    <t>עיר הנכס</t>
  </si>
  <si>
    <t>רחוב הנכס</t>
  </si>
  <si>
    <t>שם השוכר</t>
  </si>
  <si>
    <t>תחילת תאריך שכירות</t>
  </si>
  <si>
    <t>סוף תאריך שכירות</t>
  </si>
  <si>
    <t>דמי שכירות</t>
  </si>
  <si>
    <t>עמיאל סרי</t>
  </si>
  <si>
    <t>רבעון 1</t>
  </si>
  <si>
    <t>רבעון 2</t>
  </si>
  <si>
    <t>איילה זייד</t>
  </si>
  <si>
    <t>רבעון 3</t>
  </si>
  <si>
    <t>רבעון 4</t>
  </si>
  <si>
    <t>מסילת ישרים 9</t>
  </si>
  <si>
    <t>מס סידורי</t>
  </si>
  <si>
    <t>מספר תזכורת</t>
  </si>
  <si>
    <t>תאריך</t>
  </si>
  <si>
    <t>שעה</t>
  </si>
  <si>
    <t>מיקום</t>
  </si>
  <si>
    <t>תיאור</t>
  </si>
  <si>
    <t>פגישה עם הזוג מלכה, להראות את הדירה ברחוב ויצמן 13</t>
  </si>
  <si>
    <t>ללא</t>
  </si>
  <si>
    <t>שיחת טלפון עם הלקוח שלומי</t>
  </si>
  <si>
    <t>סיום החוזה של הלקוח יוני לביא, רחוב ויצמן 2</t>
  </si>
  <si>
    <t>כתיבת חוזה עם הלקוח החדש יוסי כהן</t>
  </si>
  <si>
    <t>נקיון של הדירה ברחוב החלוצים 4</t>
  </si>
  <si>
    <t>אשדוד</t>
  </si>
  <si>
    <t>פגישה עם מנהלי האחזקה של אזור דרום לטובת רענון נהלים</t>
  </si>
  <si>
    <t>בדיקת המאזן החודשי</t>
  </si>
  <si>
    <t>סיום החוזה של הלקוח אבי כץ, רחוב הבנים 17</t>
  </si>
  <si>
    <t>שיחת טלפון עם הלקוח נריה כהן</t>
  </si>
  <si>
    <t>שנה-רבעון</t>
  </si>
  <si>
    <t xml:space="preserve"> דמי שכירות</t>
  </si>
  <si>
    <t>דמי הניהול</t>
  </si>
  <si>
    <t xml:space="preserve"> הוצאה חודשית נלוות</t>
  </si>
  <si>
    <t>מס' יחידות מושכרות</t>
  </si>
  <si>
    <t>2021</t>
  </si>
  <si>
    <t>2022</t>
  </si>
  <si>
    <t>2023</t>
  </si>
  <si>
    <t>2024</t>
  </si>
  <si>
    <t>2025</t>
  </si>
  <si>
    <t>סה"כ</t>
  </si>
  <si>
    <t>בס"ד</t>
  </si>
  <si>
    <t>דו"ח רבעוני</t>
  </si>
  <si>
    <t>תאריך הדו"ח הרבעוני</t>
  </si>
  <si>
    <t>רבעון</t>
  </si>
  <si>
    <t>שנה</t>
  </si>
  <si>
    <t>סכום</t>
  </si>
  <si>
    <t>הוצאה/הכנסה</t>
  </si>
  <si>
    <t>הוצאה</t>
  </si>
  <si>
    <t xml:space="preserve"> הוצאות חודשיות נלוות</t>
  </si>
  <si>
    <t>הכנסה</t>
  </si>
  <si>
    <t xml:space="preserve"> דמי השכרת הנכסים</t>
  </si>
  <si>
    <t xml:space="preserve"> דמי מנהלי החזקה</t>
  </si>
  <si>
    <t>מספר הנכסים שהושכרו</t>
  </si>
  <si>
    <r>
      <t>בסט רנט.</t>
    </r>
    <r>
      <rPr>
        <b/>
        <sz val="18"/>
        <color theme="4" tint="-0.499984740745262"/>
        <rFont val="Arial"/>
        <family val="2"/>
        <scheme val="minor"/>
      </rPr>
      <t>ניהול נכסים</t>
    </r>
  </si>
  <si>
    <t>הוצאה חודשית נלוות</t>
  </si>
  <si>
    <t>דמי ניהול</t>
  </si>
  <si>
    <t/>
  </si>
  <si>
    <t>AMI6@GMAIL.COM</t>
  </si>
  <si>
    <t>AYALA6@GMAIL.COM</t>
  </si>
  <si>
    <t>תוויות עמודה</t>
  </si>
  <si>
    <t>סכום של דמי שכירות</t>
  </si>
  <si>
    <t>תוויות שורה</t>
  </si>
  <si>
    <t>סכום כולל</t>
  </si>
  <si>
    <t>2016</t>
  </si>
  <si>
    <t>רבע1</t>
  </si>
  <si>
    <t>רבע2</t>
  </si>
  <si>
    <t>רבע3</t>
  </si>
  <si>
    <t>רבע4</t>
  </si>
  <si>
    <t>2017</t>
  </si>
  <si>
    <t>2018</t>
  </si>
  <si>
    <t>2019</t>
  </si>
  <si>
    <t>2020</t>
  </si>
  <si>
    <t>ספירה של עיר</t>
  </si>
  <si>
    <t>סכום של דמי ניהול</t>
  </si>
  <si>
    <t>סכום של הוצאה חודשית נלוות</t>
  </si>
  <si>
    <t>רווח בשנה</t>
  </si>
  <si>
    <t>סיכום רווחים בשנה</t>
  </si>
  <si>
    <t>ספירה של עיר הנכס</t>
  </si>
  <si>
    <t>ינואר</t>
  </si>
  <si>
    <t>פברואר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</si>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</sst>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₪&quot;* #,##0.00_);_(&quot;₪&quot;* \(#,##0.00\);_(&quot;₪&quot;* &quot;-&quot;??_);_(@_)"/>
    <numFmt numFmtId="165" formatCode="_ [$₪-40D]\ * #,##0_ ;_ [$₪-40D]\ * \-#,##0_ ;_ [$₪-40D]\ * &quot;-&quot;??_ ;_ @_ "/>
    <numFmt numFmtId="166" formatCode="m/d/yyyy"/>
    <numFmt numFmtId="167" formatCode="_-&quot;₪&quot;* #,##0_-;\-&quot;₪&quot;* #,##0_-;_-&quot;₪&quot;* &quot;-&quot;??_-;_-@_-"/>
    <numFmt numFmtId="168" formatCode="h:mm;@"/>
    <numFmt numFmtId="169" formatCode="_ [$₪-40D]\ * #,##0.00_ ;_ [$₪-40D]\ * \-#,##0.00_ ;_ [$₪-40D]\ * &quot;-&quot;??_ ;_ @_ "/>
    <numFmt numFmtId="170" formatCode="_(* #,##0.00_);_(* \(#,##0.00\);_(* &quot;-&quot;??_);_(@_)"/>
    <numFmt numFmtId="171" formatCode="_(&quot;₪&quot;* #,##0_);_(&quot;₪&quot;* \(#,##0\);_(&quot;₪&quot;* &quot;-&quot;??_);_(@_)"/>
  </numFmts>
  <fonts count="4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4"/>
      <color theme="1"/>
      <name val="Arial"/>
      <family val="2"/>
      <charset val="177"/>
      <scheme val="minor"/>
    </font>
    <font>
      <b/>
      <sz val="14"/>
      <color theme="1"/>
      <name val="Arial"/>
      <family val="2"/>
      <charset val="177"/>
      <scheme val="minor"/>
    </font>
    <font>
      <sz val="14"/>
      <color rgb="FFC00000"/>
      <name val="Arial"/>
      <family val="2"/>
      <charset val="177"/>
      <scheme val="minor"/>
    </font>
    <font>
      <u/>
      <sz val="11"/>
      <color theme="10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theme="0"/>
      <name val="Arial"/>
      <family val="2"/>
      <scheme val="minor"/>
    </font>
    <font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u/>
      <sz val="14"/>
      <color theme="10"/>
      <name val="Arial"/>
      <family val="2"/>
      <scheme val="minor"/>
    </font>
    <font>
      <sz val="14"/>
      <color rgb="FFFF0000"/>
      <name val="Arial"/>
      <family val="2"/>
      <scheme val="minor"/>
    </font>
    <font>
      <u/>
      <sz val="14"/>
      <color rgb="FF0070C0"/>
      <name val="Arial"/>
      <family val="2"/>
      <scheme val="minor"/>
    </font>
    <font>
      <sz val="14"/>
      <color rgb="FFEE0000"/>
      <name val="Arial"/>
      <family val="2"/>
      <scheme val="minor"/>
    </font>
    <font>
      <b/>
      <sz val="14"/>
      <color theme="0"/>
      <name val="Arial"/>
      <family val="2"/>
      <charset val="177"/>
      <scheme val="minor"/>
    </font>
    <font>
      <sz val="14"/>
      <color theme="0"/>
      <name val="Arial"/>
      <family val="2"/>
      <charset val="177"/>
      <scheme val="minor"/>
    </font>
    <font>
      <u/>
      <sz val="14"/>
      <color theme="10"/>
      <name val="Arial"/>
      <family val="2"/>
      <charset val="177"/>
      <scheme val="minor"/>
    </font>
    <font>
      <u/>
      <sz val="14"/>
      <color rgb="FF0070C0"/>
      <name val="Arial"/>
      <family val="2"/>
      <charset val="177"/>
      <scheme val="minor"/>
    </font>
    <font>
      <sz val="14"/>
      <color rgb="FFFF0000"/>
      <name val="Arial"/>
      <family val="2"/>
      <charset val="177"/>
      <scheme val="minor"/>
    </font>
    <font>
      <b/>
      <sz val="12"/>
      <name val="Arial"/>
      <family val="2"/>
      <scheme val="minor"/>
    </font>
    <font>
      <sz val="12"/>
      <color rgb="FF00B050"/>
      <name val="Arial"/>
      <family val="2"/>
      <scheme val="minor"/>
    </font>
    <font>
      <sz val="14"/>
      <color rgb="FF00B050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249977111117893"/>
      <name val="Arial"/>
      <family val="2"/>
      <scheme val="minor"/>
    </font>
    <font>
      <b/>
      <sz val="36"/>
      <color rgb="FF0070C0"/>
      <name val="Times New Roman"/>
      <family val="1"/>
      <scheme val="maj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sz val="10"/>
      <name val="Arial"/>
      <family val="2"/>
      <scheme val="minor"/>
    </font>
    <font>
      <b/>
      <sz val="12"/>
      <color theme="0"/>
      <name val="Arial"/>
      <family val="2"/>
      <scheme val="minor"/>
    </font>
    <font>
      <sz val="12"/>
      <color rgb="FFFF0000"/>
      <name val="Arial"/>
      <family val="2"/>
      <scheme val="minor"/>
    </font>
    <font>
      <sz val="12"/>
      <name val="Arial"/>
      <family val="2"/>
      <scheme val="minor"/>
    </font>
    <font>
      <sz val="10"/>
      <color rgb="FF00B050"/>
      <name val="Arial"/>
      <family val="2"/>
      <scheme val="minor"/>
    </font>
    <font>
      <b/>
      <i/>
      <sz val="12"/>
      <color rgb="FF00B050"/>
      <name val="Arial"/>
      <family val="2"/>
      <scheme val="minor"/>
    </font>
    <font>
      <b/>
      <i/>
      <sz val="12"/>
      <color theme="4" tint="-0.249977111117893"/>
      <name val="Arial"/>
      <family val="2"/>
      <scheme val="minor"/>
    </font>
    <font>
      <b/>
      <sz val="22"/>
      <color theme="4" tint="-0.499984740745262"/>
      <name val="Arial"/>
      <family val="2"/>
      <scheme val="minor"/>
    </font>
    <font>
      <b/>
      <sz val="18"/>
      <color theme="4" tint="-0.499984740745262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5" tint="0.39997558519241921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theme="5" tint="0.39997558519241921"/>
      </right>
      <top/>
      <bottom style="thin">
        <color indexed="64"/>
      </bottom>
      <diagonal/>
    </border>
    <border>
      <left style="thin">
        <color indexed="64"/>
      </left>
      <right style="thin">
        <color theme="5" tint="0.39997558519241921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85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65" fontId="3" fillId="0" borderId="3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5" fontId="3" fillId="0" borderId="2" xfId="1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165" fontId="3" fillId="0" borderId="6" xfId="1" applyNumberFormat="1" applyFont="1" applyFill="1" applyBorder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2" fillId="0" borderId="0" xfId="2" applyFont="1" applyBorder="1" applyAlignment="1">
      <alignment horizontal="left" vertical="center"/>
    </xf>
    <xf numFmtId="0" fontId="10" fillId="0" borderId="2" xfId="0" applyFont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4" fillId="0" borderId="2" xfId="2" applyFont="1" applyBorder="1" applyAlignment="1">
      <alignment horizontal="left" vertical="center"/>
    </xf>
    <xf numFmtId="0" fontId="12" fillId="0" borderId="0" xfId="2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18" fillId="0" borderId="2" xfId="2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center" vertical="center"/>
    </xf>
    <xf numFmtId="0" fontId="19" fillId="0" borderId="2" xfId="2" applyFont="1" applyBorder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67" fontId="23" fillId="0" borderId="3" xfId="1" applyNumberFormat="1" applyFont="1" applyFill="1" applyBorder="1" applyAlignment="1">
      <alignment horizontal="center" vertical="center"/>
    </xf>
    <xf numFmtId="167" fontId="23" fillId="0" borderId="2" xfId="1" applyNumberFormat="1" applyFont="1" applyFill="1" applyBorder="1" applyAlignment="1">
      <alignment horizontal="center" vertical="center"/>
    </xf>
    <xf numFmtId="167" fontId="23" fillId="0" borderId="6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24" fillId="0" borderId="0" xfId="0" applyFont="1"/>
    <xf numFmtId="0" fontId="24" fillId="0" borderId="0" xfId="0" pivotButton="1" applyFont="1"/>
    <xf numFmtId="0" fontId="24" fillId="0" borderId="2" xfId="0" pivotButton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0" xfId="0" applyFont="1" applyAlignment="1">
      <alignment horizontal="right"/>
    </xf>
    <xf numFmtId="0" fontId="24" fillId="3" borderId="2" xfId="0" applyFont="1" applyFill="1" applyBorder="1" applyAlignment="1">
      <alignment horizontal="right" indent="1"/>
    </xf>
    <xf numFmtId="165" fontId="24" fillId="3" borderId="2" xfId="0" applyNumberFormat="1" applyFont="1" applyFill="1" applyBorder="1"/>
    <xf numFmtId="1" fontId="24" fillId="3" borderId="2" xfId="0" applyNumberFormat="1" applyFont="1" applyFill="1" applyBorder="1" applyAlignment="1">
      <alignment horizontal="center"/>
    </xf>
    <xf numFmtId="0" fontId="24" fillId="0" borderId="2" xfId="0" applyFont="1" applyBorder="1" applyAlignment="1">
      <alignment horizontal="right"/>
    </xf>
    <xf numFmtId="165" fontId="24" fillId="0" borderId="2" xfId="0" applyNumberFormat="1" applyFont="1" applyBorder="1"/>
    <xf numFmtId="1" fontId="24" fillId="0" borderId="2" xfId="0" applyNumberFormat="1" applyFont="1" applyBorder="1" applyAlignment="1">
      <alignment horizontal="center"/>
    </xf>
    <xf numFmtId="0" fontId="24" fillId="4" borderId="2" xfId="0" applyFont="1" applyFill="1" applyBorder="1" applyAlignment="1">
      <alignment horizontal="right" indent="1"/>
    </xf>
    <xf numFmtId="165" fontId="24" fillId="4" borderId="2" xfId="0" applyNumberFormat="1" applyFont="1" applyFill="1" applyBorder="1"/>
    <xf numFmtId="1" fontId="24" fillId="4" borderId="2" xfId="0" applyNumberFormat="1" applyFont="1" applyFill="1" applyBorder="1" applyAlignment="1">
      <alignment horizontal="center"/>
    </xf>
    <xf numFmtId="0" fontId="24" fillId="5" borderId="2" xfId="0" applyFont="1" applyFill="1" applyBorder="1" applyAlignment="1">
      <alignment horizontal="right" indent="1"/>
    </xf>
    <xf numFmtId="165" fontId="24" fillId="5" borderId="2" xfId="0" applyNumberFormat="1" applyFont="1" applyFill="1" applyBorder="1"/>
    <xf numFmtId="1" fontId="24" fillId="5" borderId="2" xfId="0" applyNumberFormat="1" applyFont="1" applyFill="1" applyBorder="1" applyAlignment="1">
      <alignment horizontal="center"/>
    </xf>
    <xf numFmtId="0" fontId="24" fillId="6" borderId="2" xfId="0" applyFont="1" applyFill="1" applyBorder="1" applyAlignment="1">
      <alignment horizontal="right" indent="1"/>
    </xf>
    <xf numFmtId="165" fontId="24" fillId="6" borderId="2" xfId="0" applyNumberFormat="1" applyFont="1" applyFill="1" applyBorder="1"/>
    <xf numFmtId="1" fontId="24" fillId="6" borderId="2" xfId="0" applyNumberFormat="1" applyFont="1" applyFill="1" applyBorder="1" applyAlignment="1">
      <alignment horizontal="center"/>
    </xf>
    <xf numFmtId="0" fontId="24" fillId="7" borderId="2" xfId="0" applyFont="1" applyFill="1" applyBorder="1" applyAlignment="1">
      <alignment horizontal="right" indent="1"/>
    </xf>
    <xf numFmtId="165" fontId="24" fillId="7" borderId="2" xfId="0" applyNumberFormat="1" applyFont="1" applyFill="1" applyBorder="1"/>
    <xf numFmtId="1" fontId="24" fillId="7" borderId="2" xfId="0" applyNumberFormat="1" applyFont="1" applyFill="1" applyBorder="1" applyAlignment="1">
      <alignment horizontal="center"/>
    </xf>
    <xf numFmtId="0" fontId="24" fillId="7" borderId="6" xfId="0" applyFont="1" applyFill="1" applyBorder="1" applyAlignment="1">
      <alignment horizontal="right" indent="1"/>
    </xf>
    <xf numFmtId="165" fontId="24" fillId="7" borderId="6" xfId="0" applyNumberFormat="1" applyFont="1" applyFill="1" applyBorder="1"/>
    <xf numFmtId="1" fontId="24" fillId="7" borderId="6" xfId="0" applyNumberFormat="1" applyFont="1" applyFill="1" applyBorder="1" applyAlignment="1">
      <alignment horizontal="center"/>
    </xf>
    <xf numFmtId="165" fontId="24" fillId="2" borderId="2" xfId="0" applyNumberFormat="1" applyFont="1" applyFill="1" applyBorder="1"/>
    <xf numFmtId="1" fontId="24" fillId="2" borderId="2" xfId="0" applyNumberFormat="1" applyFont="1" applyFill="1" applyBorder="1" applyAlignment="1">
      <alignment horizontal="center"/>
    </xf>
    <xf numFmtId="0" fontId="25" fillId="0" borderId="0" xfId="0" applyFont="1"/>
    <xf numFmtId="19" fontId="2" fillId="8" borderId="0" xfId="0" applyNumberFormat="1" applyFont="1" applyFill="1" applyAlignment="1">
      <alignment horizontal="center" vertical="center"/>
    </xf>
    <xf numFmtId="14" fontId="2" fillId="8" borderId="0" xfId="0" applyNumberFormat="1" applyFont="1" applyFill="1" applyAlignment="1">
      <alignment horizontal="center" vertical="center"/>
    </xf>
    <xf numFmtId="0" fontId="27" fillId="9" borderId="18" xfId="0" applyFont="1" applyFill="1" applyBorder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/>
    </xf>
    <xf numFmtId="0" fontId="28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29" fillId="0" borderId="0" xfId="0" applyFont="1" applyAlignment="1" applyProtection="1">
      <alignment vertical="center"/>
      <protection locked="0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0" fillId="0" borderId="0" xfId="0" applyAlignment="1">
      <alignment horizontal="left"/>
    </xf>
    <xf numFmtId="0" fontId="30" fillId="8" borderId="19" xfId="0" applyFont="1" applyFill="1" applyBorder="1" applyAlignment="1">
      <alignment horizontal="center" vertical="center"/>
    </xf>
    <xf numFmtId="169" fontId="31" fillId="9" borderId="19" xfId="1" applyNumberFormat="1" applyFont="1" applyFill="1" applyBorder="1" applyAlignment="1" applyProtection="1">
      <alignment horizontal="center" vertical="center"/>
      <protection locked="0"/>
    </xf>
    <xf numFmtId="0" fontId="32" fillId="9" borderId="19" xfId="0" applyFont="1" applyFill="1" applyBorder="1" applyAlignment="1" applyProtection="1">
      <alignment horizontal="center" vertical="center"/>
      <protection locked="0"/>
    </xf>
    <xf numFmtId="1" fontId="32" fillId="9" borderId="20" xfId="0" applyNumberFormat="1" applyFont="1" applyFill="1" applyBorder="1" applyAlignment="1">
      <alignment horizontal="center" vertical="center"/>
    </xf>
    <xf numFmtId="169" fontId="22" fillId="9" borderId="19" xfId="1" applyNumberFormat="1" applyFont="1" applyFill="1" applyBorder="1" applyAlignment="1" applyProtection="1">
      <alignment horizontal="center" vertical="center"/>
      <protection locked="0"/>
    </xf>
    <xf numFmtId="1" fontId="32" fillId="9" borderId="22" xfId="0" applyNumberFormat="1" applyFont="1" applyFill="1" applyBorder="1" applyAlignment="1">
      <alignment horizontal="center" vertical="center"/>
    </xf>
    <xf numFmtId="0" fontId="32" fillId="9" borderId="23" xfId="0" applyFont="1" applyFill="1" applyBorder="1" applyAlignment="1" applyProtection="1">
      <alignment horizontal="center" vertical="center"/>
      <protection locked="0"/>
    </xf>
    <xf numFmtId="1" fontId="7" fillId="9" borderId="19" xfId="0" applyNumberFormat="1" applyFont="1" applyFill="1" applyBorder="1" applyAlignment="1" applyProtection="1">
      <alignment horizontal="center" vertical="center"/>
      <protection locked="0"/>
    </xf>
    <xf numFmtId="0" fontId="21" fillId="9" borderId="23" xfId="0" applyFont="1" applyFill="1" applyBorder="1" applyAlignment="1" applyProtection="1">
      <alignment horizontal="center" vertical="center"/>
      <protection locked="0"/>
    </xf>
    <xf numFmtId="1" fontId="21" fillId="9" borderId="22" xfId="0" applyNumberFormat="1" applyFont="1" applyFill="1" applyBorder="1" applyAlignment="1">
      <alignment horizontal="center" vertical="center"/>
    </xf>
    <xf numFmtId="170" fontId="33" fillId="9" borderId="19" xfId="0" applyNumberFormat="1" applyFont="1" applyFill="1" applyBorder="1" applyAlignment="1">
      <alignment horizontal="center" vertical="center"/>
    </xf>
    <xf numFmtId="170" fontId="33" fillId="9" borderId="20" xfId="0" applyNumberFormat="1" applyFont="1" applyFill="1" applyBorder="1" applyAlignment="1">
      <alignment horizontal="center" vertical="center"/>
    </xf>
    <xf numFmtId="169" fontId="34" fillId="10" borderId="0" xfId="1" applyNumberFormat="1" applyFont="1" applyFill="1" applyBorder="1" applyAlignment="1">
      <alignment vertical="center"/>
    </xf>
    <xf numFmtId="0" fontId="32" fillId="0" borderId="0" xfId="0" applyFont="1" applyAlignment="1">
      <alignment horizontal="left" vertical="center" indent="1"/>
    </xf>
    <xf numFmtId="0" fontId="32" fillId="0" borderId="0" xfId="0" applyFont="1"/>
    <xf numFmtId="0" fontId="3" fillId="0" borderId="2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/>
    </xf>
    <xf numFmtId="14" fontId="8" fillId="0" borderId="9" xfId="0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165" fontId="11" fillId="0" borderId="1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14" fontId="17" fillId="0" borderId="0" xfId="0" applyNumberFormat="1" applyFont="1" applyFill="1" applyAlignment="1">
      <alignment horizontal="center" vertical="center"/>
    </xf>
    <xf numFmtId="0" fontId="10" fillId="0" borderId="12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15" fontId="11" fillId="0" borderId="13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/>
    </xf>
    <xf numFmtId="15" fontId="10" fillId="0" borderId="14" xfId="0" applyNumberFormat="1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15" fontId="10" fillId="0" borderId="16" xfId="0" applyNumberFormat="1" applyFont="1" applyFill="1" applyBorder="1" applyAlignment="1">
      <alignment horizontal="center" vertical="center"/>
    </xf>
    <xf numFmtId="15" fontId="10" fillId="0" borderId="0" xfId="0" applyNumberFormat="1" applyFont="1" applyFill="1" applyAlignment="1">
      <alignment horizontal="center" vertical="center"/>
    </xf>
    <xf numFmtId="167" fontId="23" fillId="0" borderId="0" xfId="0" applyNumberFormat="1" applyFont="1" applyFill="1"/>
    <xf numFmtId="15" fontId="11" fillId="0" borderId="27" xfId="0" applyNumberFormat="1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165" fontId="11" fillId="0" borderId="2" xfId="0" applyNumberFormat="1" applyFont="1" applyFill="1" applyBorder="1" applyAlignment="1">
      <alignment horizontal="center" vertical="center"/>
    </xf>
    <xf numFmtId="165" fontId="11" fillId="0" borderId="2" xfId="1" applyNumberFormat="1" applyFont="1" applyFill="1" applyBorder="1" applyAlignment="1">
      <alignment horizontal="center" vertical="center"/>
    </xf>
    <xf numFmtId="0" fontId="10" fillId="0" borderId="0" xfId="0" applyFont="1" applyFill="1"/>
    <xf numFmtId="15" fontId="10" fillId="0" borderId="17" xfId="0" applyNumberFormat="1" applyFont="1" applyFill="1" applyBorder="1" applyAlignment="1">
      <alignment horizontal="center" vertical="center"/>
    </xf>
    <xf numFmtId="165" fontId="13" fillId="0" borderId="2" xfId="1" applyNumberFormat="1" applyFont="1" applyFill="1" applyBorder="1" applyAlignment="1">
      <alignment horizontal="center" vertical="center"/>
    </xf>
    <xf numFmtId="165" fontId="23" fillId="0" borderId="2" xfId="1" applyNumberFormat="1" applyFont="1" applyFill="1" applyBorder="1" applyAlignment="1">
      <alignment horizontal="center" vertical="center"/>
    </xf>
    <xf numFmtId="165" fontId="10" fillId="0" borderId="0" xfId="0" applyNumberFormat="1" applyFont="1" applyFill="1"/>
    <xf numFmtId="15" fontId="10" fillId="0" borderId="28" xfId="0" applyNumberFormat="1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166" fontId="3" fillId="0" borderId="2" xfId="0" applyNumberFormat="1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9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right"/>
    </xf>
    <xf numFmtId="0" fontId="0" fillId="0" borderId="0" xfId="0" applyNumberFormat="1"/>
    <xf numFmtId="171" fontId="0" fillId="0" borderId="0" xfId="0" applyNumberFormat="1"/>
    <xf numFmtId="0" fontId="39" fillId="13" borderId="31" xfId="0" applyFont="1" applyFill="1" applyBorder="1"/>
    <xf numFmtId="165" fontId="0" fillId="0" borderId="0" xfId="0" applyNumberFormat="1"/>
    <xf numFmtId="0" fontId="0" fillId="11" borderId="2" xfId="0" applyFill="1" applyBorder="1" applyAlignment="1">
      <alignment horizontal="center" vertical="center"/>
    </xf>
    <xf numFmtId="165" fontId="0" fillId="11" borderId="2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165" fontId="0" fillId="10" borderId="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right"/>
    </xf>
    <xf numFmtId="0" fontId="0" fillId="15" borderId="0" xfId="0" applyNumberFormat="1" applyFill="1"/>
    <xf numFmtId="0" fontId="0" fillId="16" borderId="0" xfId="0" applyFill="1" applyAlignment="1">
      <alignment horizontal="right"/>
    </xf>
    <xf numFmtId="0" fontId="0" fillId="16" borderId="0" xfId="0" applyNumberFormat="1" applyFill="1"/>
    <xf numFmtId="0" fontId="0" fillId="17" borderId="0" xfId="0" applyFill="1" applyAlignment="1">
      <alignment horizontal="right"/>
    </xf>
    <xf numFmtId="171" fontId="0" fillId="17" borderId="0" xfId="0" applyNumberFormat="1" applyFill="1"/>
    <xf numFmtId="0" fontId="0" fillId="18" borderId="0" xfId="0" applyFill="1" applyAlignment="1">
      <alignment horizontal="right"/>
    </xf>
    <xf numFmtId="171" fontId="0" fillId="18" borderId="0" xfId="0" applyNumberFormat="1" applyFill="1"/>
    <xf numFmtId="0" fontId="0" fillId="17" borderId="0" xfId="0" applyNumberFormat="1" applyFill="1"/>
    <xf numFmtId="0" fontId="0" fillId="18" borderId="0" xfId="0" applyNumberFormat="1" applyFill="1"/>
    <xf numFmtId="165" fontId="0" fillId="17" borderId="0" xfId="0" applyNumberFormat="1" applyFill="1"/>
    <xf numFmtId="165" fontId="0" fillId="18" borderId="0" xfId="0" applyNumberFormat="1" applyFill="1"/>
    <xf numFmtId="167" fontId="8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20" fillId="0" borderId="3" xfId="1" applyNumberFormat="1" applyFont="1" applyFill="1" applyBorder="1" applyAlignment="1">
      <alignment horizontal="center" vertical="center"/>
    </xf>
    <xf numFmtId="165" fontId="20" fillId="0" borderId="2" xfId="1" applyNumberFormat="1" applyFont="1" applyFill="1" applyBorder="1" applyAlignment="1">
      <alignment horizontal="center" vertical="center"/>
    </xf>
    <xf numFmtId="165" fontId="20" fillId="0" borderId="6" xfId="1" applyNumberFormat="1" applyFont="1" applyFill="1" applyBorder="1" applyAlignment="1">
      <alignment horizontal="center" vertical="center"/>
    </xf>
    <xf numFmtId="165" fontId="13" fillId="0" borderId="2" xfId="1" applyNumberFormat="1" applyFont="1" applyBorder="1" applyAlignment="1">
      <alignment horizontal="center" vertical="center"/>
    </xf>
    <xf numFmtId="0" fontId="24" fillId="2" borderId="2" xfId="0" applyFont="1" applyFill="1" applyBorder="1" applyAlignment="1">
      <alignment horizontal="center"/>
    </xf>
    <xf numFmtId="0" fontId="30" fillId="14" borderId="0" xfId="0" applyFont="1" applyFill="1" applyAlignment="1">
      <alignment horizontal="center"/>
    </xf>
    <xf numFmtId="1" fontId="33" fillId="9" borderId="20" xfId="0" applyNumberFormat="1" applyFont="1" applyFill="1" applyBorder="1" applyAlignment="1">
      <alignment horizontal="center" vertical="center"/>
    </xf>
    <xf numFmtId="1" fontId="33" fillId="9" borderId="21" xfId="0" applyNumberFormat="1" applyFont="1" applyFill="1" applyBorder="1" applyAlignment="1">
      <alignment horizontal="center" vertical="center"/>
    </xf>
    <xf numFmtId="1" fontId="21" fillId="9" borderId="20" xfId="0" applyNumberFormat="1" applyFont="1" applyFill="1" applyBorder="1" applyAlignment="1">
      <alignment horizontal="center" vertical="center"/>
    </xf>
    <xf numFmtId="1" fontId="21" fillId="9" borderId="25" xfId="0" applyNumberFormat="1" applyFont="1" applyFill="1" applyBorder="1" applyAlignment="1">
      <alignment horizontal="center" vertical="center"/>
    </xf>
    <xf numFmtId="0" fontId="35" fillId="11" borderId="26" xfId="0" applyFont="1" applyFill="1" applyBorder="1" applyAlignment="1">
      <alignment horizontal="center" vertical="center"/>
    </xf>
    <xf numFmtId="0" fontId="36" fillId="12" borderId="0" xfId="0" applyFont="1" applyFill="1" applyAlignment="1" applyProtection="1">
      <alignment horizontal="center" vertical="center"/>
      <protection locked="0"/>
    </xf>
    <xf numFmtId="1" fontId="21" fillId="9" borderId="22" xfId="0" applyNumberFormat="1" applyFont="1" applyFill="1" applyBorder="1" applyAlignment="1">
      <alignment horizontal="right" vertical="center"/>
    </xf>
    <xf numFmtId="1" fontId="21" fillId="9" borderId="24" xfId="0" applyNumberFormat="1" applyFont="1" applyFill="1" applyBorder="1" applyAlignment="1">
      <alignment horizontal="right" vertical="center"/>
    </xf>
    <xf numFmtId="1" fontId="32" fillId="9" borderId="20" xfId="0" applyNumberFormat="1" applyFont="1" applyFill="1" applyBorder="1" applyAlignment="1">
      <alignment horizontal="right" vertical="center"/>
    </xf>
    <xf numFmtId="1" fontId="32" fillId="9" borderId="21" xfId="0" applyNumberFormat="1" applyFont="1" applyFill="1" applyBorder="1" applyAlignment="1">
      <alignment horizontal="right" vertical="center"/>
    </xf>
    <xf numFmtId="0" fontId="26" fillId="0" borderId="0" xfId="0" applyFont="1" applyAlignment="1" applyProtection="1">
      <alignment horizontal="center" vertical="center"/>
      <protection locked="0"/>
    </xf>
    <xf numFmtId="0" fontId="2" fillId="8" borderId="0" xfId="0" applyFont="1" applyFill="1" applyAlignment="1">
      <alignment horizontal="center" vertical="center"/>
    </xf>
    <xf numFmtId="0" fontId="30" fillId="8" borderId="19" xfId="0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היפר-קישור" xfId="2" builtinId="8"/>
  </cellStyles>
  <dxfs count="253"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horizontal="center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2" tint="-0.749992370372631"/>
        </patternFill>
      </fill>
    </dxf>
    <dxf>
      <fill>
        <patternFill patternType="solid">
          <bgColor theme="2" tint="-0.74999237037263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vertical="center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2" formatCode="0.0"/>
    </dxf>
    <dxf>
      <numFmt numFmtId="172" formatCode="0.0"/>
    </dxf>
    <dxf>
      <numFmt numFmtId="172" formatCode="0.0"/>
    </dxf>
    <dxf>
      <numFmt numFmtId="172" formatCode="0.0"/>
    </dxf>
    <dxf>
      <numFmt numFmtId="172" formatCode="0.0"/>
    </dxf>
    <dxf>
      <numFmt numFmtId="172" formatCode="0.0"/>
    </dxf>
    <dxf>
      <numFmt numFmtId="172" formatCode="0.0"/>
    </dxf>
    <dxf>
      <numFmt numFmtId="172" formatCode="0.0"/>
    </dxf>
    <dxf>
      <numFmt numFmtId="172" formatCode="0.0"/>
    </dxf>
    <dxf>
      <numFmt numFmtId="172" formatCode="0.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_ [$₪-40D]\ * #,##0_ ;_ [$₪-40D]\ * \-#,##0_ ;_ [$₪-40D]\ * &quot;-&quot;??_ ;_ @_ "/>
    </dxf>
    <dxf>
      <numFmt numFmtId="165" formatCode="_ [$₪-40D]\ * #,##0_ ;_ [$₪-40D]\ * \-#,##0_ ;_ [$₪-40D]\ * &quot;-&quot;??_ ;_ @_ "/>
    </dxf>
    <dxf>
      <numFmt numFmtId="165" formatCode="_ [$₪-40D]\ * #,##0_ ;_ [$₪-40D]\ * \-#,##0_ ;_ [$₪-40D]\ * &quot;-&quot;??_ ;_ @_ "/>
    </dxf>
    <dxf>
      <numFmt numFmtId="165" formatCode="_ [$₪-40D]\ * #,##0_ ;_ [$₪-40D]\ * \-#,##0_ ;_ [$₪-40D]\ * &quot;-&quot;??_ ;_ @_ "/>
    </dxf>
    <dxf>
      <numFmt numFmtId="165" formatCode="_ [$₪-40D]\ * #,##0_ ;_ [$₪-40D]\ * \-#,##0_ ;_ [$₪-40D]\ * &quot;-&quot;??_ ;_ @_ "/>
    </dxf>
    <dxf>
      <numFmt numFmtId="165" formatCode="_ [$₪-40D]\ * #,##0_ ;_ [$₪-40D]\ * \-#,##0_ ;_ [$₪-40D]\ * &quot;-&quot;??_ ;_ @_ "/>
    </dxf>
    <dxf>
      <numFmt numFmtId="165" formatCode="_ [$₪-40D]\ * #,##0_ ;_ [$₪-40D]\ * \-#,##0_ ;_ [$₪-40D]\ * &quot;-&quot;??_ ;_ @_ "/>
    </dxf>
    <dxf>
      <numFmt numFmtId="165" formatCode="_ [$₪-40D]\ * #,##0_ ;_ [$₪-40D]\ * \-#,##0_ ;_ [$₪-40D]\ * &quot;-&quot;??_ ;_ @_ "/>
    </dxf>
    <dxf>
      <numFmt numFmtId="165" formatCode="_ [$₪-40D]\ * #,##0_ ;_ [$₪-40D]\ * \-#,##0_ ;_ [$₪-40D]\ * &quot;-&quot;??_ ;_ @_ "/>
    </dxf>
    <dxf>
      <numFmt numFmtId="165" formatCode="_ [$₪-40D]\ * #,##0_ ;_ [$₪-40D]\ * \-#,##0_ ;_ [$₪-40D]\ * &quot;-&quot;??_ ;_ @_ "/>
    </dxf>
    <dxf>
      <numFmt numFmtId="173" formatCode="_ [$₪-40D]\ * #,##0.0_ ;_ [$₪-40D]\ * \-#,##0.0_ ;_ [$₪-40D]\ * &quot;-&quot;??_ ;_ @_ "/>
    </dxf>
    <dxf>
      <numFmt numFmtId="173" formatCode="_ [$₪-40D]\ * #,##0.0_ ;_ [$₪-40D]\ * \-#,##0.0_ ;_ [$₪-40D]\ * &quot;-&quot;??_ ;_ @_ "/>
    </dxf>
    <dxf>
      <numFmt numFmtId="173" formatCode="_ [$₪-40D]\ * #,##0.0_ ;_ [$₪-40D]\ * \-#,##0.0_ ;_ [$₪-40D]\ * &quot;-&quot;??_ ;_ @_ "/>
    </dxf>
    <dxf>
      <numFmt numFmtId="173" formatCode="_ [$₪-40D]\ * #,##0.0_ ;_ [$₪-40D]\ * \-#,##0.0_ ;_ [$₪-40D]\ * &quot;-&quot;??_ ;_ @_ "/>
    </dxf>
    <dxf>
      <numFmt numFmtId="173" formatCode="_ [$₪-40D]\ * #,##0.0_ ;_ [$₪-40D]\ * \-#,##0.0_ ;_ [$₪-40D]\ * &quot;-&quot;??_ ;_ @_ "/>
    </dxf>
    <dxf>
      <numFmt numFmtId="173" formatCode="_ [$₪-40D]\ * #,##0.0_ ;_ [$₪-40D]\ * \-#,##0.0_ ;_ [$₪-40D]\ * &quot;-&quot;??_ ;_ @_ "/>
    </dxf>
    <dxf>
      <numFmt numFmtId="173" formatCode="_ [$₪-40D]\ * #,##0.0_ ;_ [$₪-40D]\ * \-#,##0.0_ ;_ [$₪-40D]\ * &quot;-&quot;??_ ;_ @_ "/>
    </dxf>
    <dxf>
      <numFmt numFmtId="173" formatCode="_ [$₪-40D]\ * #,##0.0_ ;_ [$₪-40D]\ * \-#,##0.0_ ;_ [$₪-40D]\ * &quot;-&quot;??_ ;_ @_ "/>
    </dxf>
    <dxf>
      <numFmt numFmtId="173" formatCode="_ [$₪-40D]\ * #,##0.0_ ;_ [$₪-40D]\ * \-#,##0.0_ ;_ [$₪-40D]\ * &quot;-&quot;??_ ;_ @_ "/>
    </dxf>
    <dxf>
      <numFmt numFmtId="173" formatCode="_ [$₪-40D]\ * #,##0.0_ ;_ [$₪-40D]\ * \-#,##0.0_ ;_ [$₪-40D]\ * &quot;-&quot;??_ ;_ @_ "/>
    </dxf>
    <dxf>
      <numFmt numFmtId="169" formatCode="_ [$₪-40D]\ * #,##0.00_ ;_ [$₪-40D]\ * \-#,##0.00_ ;_ [$₪-40D]\ * &quot;-&quot;??_ ;_ @_ "/>
    </dxf>
    <dxf>
      <numFmt numFmtId="169" formatCode="_ [$₪-40D]\ * #,##0.00_ ;_ [$₪-40D]\ * \-#,##0.00_ ;_ [$₪-40D]\ * &quot;-&quot;??_ ;_ @_ "/>
    </dxf>
    <dxf>
      <numFmt numFmtId="169" formatCode="_ [$₪-40D]\ * #,##0.00_ ;_ [$₪-40D]\ * \-#,##0.00_ ;_ [$₪-40D]\ * &quot;-&quot;??_ ;_ @_ "/>
    </dxf>
    <dxf>
      <numFmt numFmtId="169" formatCode="_ [$₪-40D]\ * #,##0.00_ ;_ [$₪-40D]\ * \-#,##0.00_ ;_ [$₪-40D]\ * &quot;-&quot;??_ ;_ @_ "/>
    </dxf>
    <dxf>
      <numFmt numFmtId="169" formatCode="_ [$₪-40D]\ * #,##0.00_ ;_ [$₪-40D]\ * \-#,##0.00_ ;_ [$₪-40D]\ * &quot;-&quot;??_ ;_ @_ "/>
    </dxf>
    <dxf>
      <numFmt numFmtId="169" formatCode="_ [$₪-40D]\ * #,##0.00_ ;_ [$₪-40D]\ * \-#,##0.00_ ;_ [$₪-40D]\ * &quot;-&quot;??_ ;_ @_ "/>
    </dxf>
    <dxf>
      <numFmt numFmtId="169" formatCode="_ [$₪-40D]\ * #,##0.00_ ;_ [$₪-40D]\ * \-#,##0.00_ ;_ [$₪-40D]\ * &quot;-&quot;??_ ;_ @_ "/>
    </dxf>
    <dxf>
      <numFmt numFmtId="169" formatCode="_ [$₪-40D]\ * #,##0.00_ ;_ [$₪-40D]\ * \-#,##0.00_ ;_ [$₪-40D]\ * &quot;-&quot;??_ ;_ @_ "/>
    </dxf>
    <dxf>
      <numFmt numFmtId="169" formatCode="_ [$₪-40D]\ * #,##0.00_ ;_ [$₪-40D]\ * \-#,##0.00_ ;_ [$₪-40D]\ * &quot;-&quot;??_ ;_ @_ "/>
    </dxf>
    <dxf>
      <numFmt numFmtId="169" formatCode="_ [$₪-40D]\ * #,##0.00_ ;_ [$₪-40D]\ * \-#,##0.00_ ;_ [$₪-40D]\ * &quot;-&quot;??_ ;_ @_ "/>
    </dxf>
    <dxf>
      <numFmt numFmtId="174" formatCode="_-&quot;USh&quot;* #,##0_-;\-&quot;USh&quot;* #,##0_-;_-&quot;USh&quot;* &quot;-&quot;??_-;_-@_-"/>
    </dxf>
    <dxf>
      <numFmt numFmtId="174" formatCode="_-&quot;USh&quot;* #,##0_-;\-&quot;USh&quot;* #,##0_-;_-&quot;USh&quot;* &quot;-&quot;??_-;_-@_-"/>
    </dxf>
    <dxf>
      <numFmt numFmtId="174" formatCode="_-&quot;USh&quot;* #,##0_-;\-&quot;USh&quot;* #,##0_-;_-&quot;USh&quot;* &quot;-&quot;??_-;_-@_-"/>
    </dxf>
    <dxf>
      <numFmt numFmtId="174" formatCode="_-&quot;USh&quot;* #,##0_-;\-&quot;USh&quot;* #,##0_-;_-&quot;USh&quot;* &quot;-&quot;??_-;_-@_-"/>
    </dxf>
    <dxf>
      <numFmt numFmtId="174" formatCode="_-&quot;USh&quot;* #,##0_-;\-&quot;USh&quot;* #,##0_-;_-&quot;USh&quot;* &quot;-&quot;??_-;_-@_-"/>
    </dxf>
    <dxf>
      <numFmt numFmtId="174" formatCode="_-&quot;USh&quot;* #,##0_-;\-&quot;USh&quot;* #,##0_-;_-&quot;USh&quot;* &quot;-&quot;??_-;_-@_-"/>
    </dxf>
    <dxf>
      <numFmt numFmtId="174" formatCode="_-&quot;USh&quot;* #,##0_-;\-&quot;USh&quot;* #,##0_-;_-&quot;USh&quot;* &quot;-&quot;??_-;_-@_-"/>
    </dxf>
    <dxf>
      <numFmt numFmtId="174" formatCode="_-&quot;USh&quot;* #,##0_-;\-&quot;USh&quot;* #,##0_-;_-&quot;USh&quot;* &quot;-&quot;??_-;_-@_-"/>
    </dxf>
    <dxf>
      <numFmt numFmtId="174" formatCode="_-&quot;USh&quot;* #,##0_-;\-&quot;USh&quot;* #,##0_-;_-&quot;USh&quot;* &quot;-&quot;??_-;_-@_-"/>
    </dxf>
    <dxf>
      <numFmt numFmtId="174" formatCode="_-&quot;USh&quot;* #,##0_-;\-&quot;USh&quot;* #,##0_-;_-&quot;USh&quot;* &quot;-&quot;??_-;_-@_-"/>
    </dxf>
    <dxf>
      <numFmt numFmtId="175" formatCode="_-&quot;USh&quot;* #,##0.0_-;\-&quot;USh&quot;* #,##0.0_-;_-&quot;USh&quot;* &quot;-&quot;??_-;_-@_-"/>
    </dxf>
    <dxf>
      <numFmt numFmtId="175" formatCode="_-&quot;USh&quot;* #,##0.0_-;\-&quot;USh&quot;* #,##0.0_-;_-&quot;USh&quot;* &quot;-&quot;??_-;_-@_-"/>
    </dxf>
    <dxf>
      <numFmt numFmtId="175" formatCode="_-&quot;USh&quot;* #,##0.0_-;\-&quot;USh&quot;* #,##0.0_-;_-&quot;USh&quot;* &quot;-&quot;??_-;_-@_-"/>
    </dxf>
    <dxf>
      <numFmt numFmtId="175" formatCode="_-&quot;USh&quot;* #,##0.0_-;\-&quot;USh&quot;* #,##0.0_-;_-&quot;USh&quot;* &quot;-&quot;??_-;_-@_-"/>
    </dxf>
    <dxf>
      <numFmt numFmtId="175" formatCode="_-&quot;USh&quot;* #,##0.0_-;\-&quot;USh&quot;* #,##0.0_-;_-&quot;USh&quot;* &quot;-&quot;??_-;_-@_-"/>
    </dxf>
    <dxf>
      <numFmt numFmtId="175" formatCode="_-&quot;USh&quot;* #,##0.0_-;\-&quot;USh&quot;* #,##0.0_-;_-&quot;USh&quot;* &quot;-&quot;??_-;_-@_-"/>
    </dxf>
    <dxf>
      <numFmt numFmtId="175" formatCode="_-&quot;USh&quot;* #,##0.0_-;\-&quot;USh&quot;* #,##0.0_-;_-&quot;USh&quot;* &quot;-&quot;??_-;_-@_-"/>
    </dxf>
    <dxf>
      <numFmt numFmtId="175" formatCode="_-&quot;USh&quot;* #,##0.0_-;\-&quot;USh&quot;* #,##0.0_-;_-&quot;USh&quot;* &quot;-&quot;??_-;_-@_-"/>
    </dxf>
    <dxf>
      <numFmt numFmtId="175" formatCode="_-&quot;USh&quot;* #,##0.0_-;\-&quot;USh&quot;* #,##0.0_-;_-&quot;USh&quot;* &quot;-&quot;??_-;_-@_-"/>
    </dxf>
    <dxf>
      <numFmt numFmtId="175" formatCode="_-&quot;USh&quot;* #,##0.0_-;\-&quot;USh&quot;* #,##0.0_-;_-&quot;USh&quot;* &quot;-&quot;??_-;_-@_-"/>
    </dxf>
    <dxf>
      <numFmt numFmtId="176" formatCode="_-&quot;USh&quot;* #,##0.00_-;\-&quot;USh&quot;* #,##0.00_-;_-&quot;USh&quot;* &quot;-&quot;??_-;_-@_-"/>
    </dxf>
    <dxf>
      <numFmt numFmtId="176" formatCode="_-&quot;USh&quot;* #,##0.00_-;\-&quot;USh&quot;* #,##0.00_-;_-&quot;USh&quot;* &quot;-&quot;??_-;_-@_-"/>
    </dxf>
    <dxf>
      <numFmt numFmtId="176" formatCode="_-&quot;USh&quot;* #,##0.00_-;\-&quot;USh&quot;* #,##0.00_-;_-&quot;USh&quot;* &quot;-&quot;??_-;_-@_-"/>
    </dxf>
    <dxf>
      <numFmt numFmtId="176" formatCode="_-&quot;USh&quot;* #,##0.00_-;\-&quot;USh&quot;* #,##0.00_-;_-&quot;USh&quot;* &quot;-&quot;??_-;_-@_-"/>
    </dxf>
    <dxf>
      <numFmt numFmtId="176" formatCode="_-&quot;USh&quot;* #,##0.00_-;\-&quot;USh&quot;* #,##0.00_-;_-&quot;USh&quot;* &quot;-&quot;??_-;_-@_-"/>
    </dxf>
    <dxf>
      <numFmt numFmtId="176" formatCode="_-&quot;USh&quot;* #,##0.00_-;\-&quot;USh&quot;* #,##0.00_-;_-&quot;USh&quot;* &quot;-&quot;??_-;_-@_-"/>
    </dxf>
    <dxf>
      <numFmt numFmtId="176" formatCode="_-&quot;USh&quot;* #,##0.00_-;\-&quot;USh&quot;* #,##0.00_-;_-&quot;USh&quot;* &quot;-&quot;??_-;_-@_-"/>
    </dxf>
    <dxf>
      <numFmt numFmtId="176" formatCode="_-&quot;USh&quot;* #,##0.00_-;\-&quot;USh&quot;* #,##0.00_-;_-&quot;USh&quot;* &quot;-&quot;??_-;_-@_-"/>
    </dxf>
    <dxf>
      <numFmt numFmtId="176" formatCode="_-&quot;USh&quot;* #,##0.00_-;\-&quot;USh&quot;* #,##0.00_-;_-&quot;USh&quot;* &quot;-&quot;??_-;_-@_-"/>
    </dxf>
    <dxf>
      <numFmt numFmtId="176" formatCode="_-&quot;USh&quot;* #,##0.00_-;\-&quot;USh&quot;* #,##0.00_-;_-&quot;USh&quot;* &quot;-&quot;??_-;_-@_-"/>
    </dxf>
    <dxf>
      <fill>
        <patternFill>
          <fgColor theme="3" tint="0.59999389629810485"/>
        </patternFill>
      </fill>
    </dxf>
    <dxf>
      <fill>
        <patternFill>
          <fgColor theme="3" tint="0.599993896298104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numFmt numFmtId="165" formatCode="_ [$₪-40D]\ * #,##0_ ;_ [$₪-40D]\ * \-#,##0_ ;_ [$₪-40D]\ * &quot;-&quot;??_ ;_ @_ "/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numFmt numFmtId="171" formatCode="_(&quot;₪&quot;* #,##0_);_(&quot;₪&quot;* \(#,##0\);_(&quot;₪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65" formatCode="_ [$₪-40D]\ * #,##0_ ;_ [$₪-40D]\ * \-#,##0_ ;_ [$₪-40D]\ * &quot;-&quot;??_ ;_ @_ "/>
      <fill>
        <patternFill patternType="none">
          <fgColor theme="5" tint="0.59999389629810485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theme="5" tint="0.59999389629810485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numFmt numFmtId="165" formatCode="_ [$₪-40D]\ * #,##0_ ;_ [$₪-40D]\ * \-#,##0_ ;_ [$₪-40D]\ * &quot;-&quot;??_ ;_ @_ "/>
      <fill>
        <patternFill patternType="none">
          <fgColor theme="5" tint="0.59999389629810485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theme="5" tint="0.59999389629810485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numFmt numFmtId="165" formatCode="_ [$₪-40D]\ * #,##0_ ;_ [$₪-40D]\ * \-#,##0_ ;_ [$₪-40D]\ * &quot;-&quot;??_ ;_ @_ "/>
      <fill>
        <patternFill patternType="none">
          <fgColor theme="5" tint="0.59999389629810485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theme="5" tint="0.59999389629810485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65" formatCode="_ [$₪-40D]\ * #,##0_ ;_ [$₪-40D]\ * \-#,##0_ ;_ [$₪-40D]\ * &quot;-&quot;??_ ;_ @_ "/>
      <fill>
        <patternFill patternType="none">
          <fgColor theme="5" tint="0.59999389629810485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7" formatCode="d\-mmm\-yy"/>
      <fill>
        <patternFill patternType="none">
          <fgColor theme="5" tint="0.59999389629810485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theme="5" tint="0.3999755851924192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7" formatCode="d\-mmm\-yy"/>
      <fill>
        <patternFill patternType="none">
          <fgColor theme="5" tint="0.59999389629810485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theme="5" tint="0.3999755851924192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8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67" formatCode="_-&quot;₪&quot;* #,##0_-;\-&quot;₪&quot;* #,##0_-;_-&quot;₪&quot;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7" formatCode="d\-mmm\-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7" formatCode="d\-mmm\-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theme="5" tint="0.59999389629810485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/>
        <vertAlign val="baseline"/>
        <sz val="14"/>
        <color rgb="FF0070C0"/>
        <name val="Calibri"/>
        <family val="2"/>
        <charset val="177"/>
        <scheme val="minor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name val="Calibri"/>
        <family val="2"/>
        <charset val="177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name val="Calibri"/>
        <family val="2"/>
        <charset val="177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/>
        <vertAlign val="baseline"/>
        <sz val="14"/>
        <color rgb="FF0070C0"/>
        <name val="Calibri"/>
        <family val="2"/>
        <charset val="177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name val="Calibri"/>
        <family val="2"/>
        <charset val="177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77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vertAlign val="baseline"/>
        <sz val="14"/>
        <name val="Calibri"/>
        <family val="2"/>
        <charset val="177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</border>
    </dxf>
    <dxf>
      <font>
        <strike val="0"/>
        <outline val="0"/>
        <shadow val="0"/>
        <vertAlign val="baseline"/>
        <sz val="14"/>
        <name val="Calibri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F0000"/>
        <name val="Arial"/>
        <family val="2"/>
        <scheme val="minor"/>
      </font>
      <numFmt numFmtId="165" formatCode="_ [$₪-40D]\ * #,##0_ ;_ [$₪-40D]\ * \-#,##0_ ;_ [$₪-40D]\ * &quot;-&quot;??_ ;_ 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66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/>
        <vertAlign val="baseline"/>
        <sz val="14"/>
        <color rgb="FF0070C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</border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77"/>
        <scheme val="minor"/>
      </font>
      <numFmt numFmtId="165" formatCode="_ [$₪-40D]\ * #,##0_ ;_ [$₪-40D]\ * \-#,##0_ ;_ [$₪-40D]\ * &quot;-&quot;??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family val="2"/>
        <charset val="177"/>
        <scheme val="minor"/>
      </font>
      <numFmt numFmtId="165" formatCode="_ [$₪-40D]\ * #,##0_ ;_ [$₪-40D]\ * \-#,##0_ ;_ [$₪-40D]\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77"/>
        <scheme val="minor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77"/>
        <scheme val="minor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77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6FF66"/>
      <color rgb="FFFF0000"/>
      <color rgb="FFEE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he-IL" u="sng"/>
              <a:t>גרף הכנסות לפי רבעון שנתי</a:t>
            </a:r>
            <a:endParaRPr lang="en-US" u="sng"/>
          </a:p>
        </c:rich>
      </c:tx>
      <c:layout>
        <c:manualLayout>
          <c:xMode val="edge"/>
          <c:yMode val="edge"/>
          <c:x val="0.33297088081817405"/>
          <c:y val="2.809969104101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0"/>
      </c:pivotFmt>
      <c:pivotFmt>
        <c:idx val="131"/>
      </c:pivotFmt>
      <c:pivotFmt>
        <c:idx val="132"/>
      </c:pivotFmt>
      <c:pivotFmt>
        <c:idx val="133"/>
      </c:pivotFmt>
      <c:pivotFmt>
        <c:idx val="1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8684427156461889"/>
          <c:y val="0.14897752745214971"/>
          <c:w val="0.68469586717887876"/>
          <c:h val="0.64475696671380256"/>
        </c:manualLayout>
      </c:layout>
      <c:bar3DChart>
        <c:barDir val="col"/>
        <c:grouping val="standard"/>
        <c:varyColors val="0"/>
        <c:ser>
          <c:idx val="0"/>
          <c:order val="0"/>
          <c:tx>
            <c:v>Qtr1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Lit>
              <c:ptCount val="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</c:strLit>
          </c:cat>
          <c:val>
            <c:numLit>
              <c:formatCode>General</c:formatCode>
              <c:ptCount val="5"/>
              <c:pt idx="0">
                <c:v>86397</c:v>
              </c:pt>
              <c:pt idx="1">
                <c:v>68490</c:v>
              </c:pt>
              <c:pt idx="2">
                <c:v>23083</c:v>
              </c:pt>
              <c:pt idx="3">
                <c:v>33521</c:v>
              </c:pt>
              <c:pt idx="4">
                <c:v>41216</c:v>
              </c:pt>
            </c:numLit>
          </c:val>
          <c:extLst>
            <c:ext xmlns:c16="http://schemas.microsoft.com/office/drawing/2014/chart" uri="{C3380CC4-5D6E-409C-BE32-E72D297353CC}">
              <c16:uniqueId val="{00000000-AA3E-4CDF-9934-62A7BE75F8F4}"/>
            </c:ext>
          </c:extLst>
        </c:ser>
        <c:ser>
          <c:idx val="1"/>
          <c:order val="1"/>
          <c:tx>
            <c:v>Qtr2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Lit>
              <c:ptCount val="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</c:strLit>
          </c:cat>
          <c:val>
            <c:numLit>
              <c:formatCode>General</c:formatCode>
              <c:ptCount val="5"/>
              <c:pt idx="0">
                <c:v>64939</c:v>
              </c:pt>
              <c:pt idx="1">
                <c:v>53471</c:v>
              </c:pt>
              <c:pt idx="2">
                <c:v>98322</c:v>
              </c:pt>
              <c:pt idx="3">
                <c:v>51476</c:v>
              </c:pt>
              <c:pt idx="4">
                <c:v>33573</c:v>
              </c:pt>
            </c:numLit>
          </c:val>
          <c:extLst>
            <c:ext xmlns:c16="http://schemas.microsoft.com/office/drawing/2014/chart" uri="{C3380CC4-5D6E-409C-BE32-E72D297353CC}">
              <c16:uniqueId val="{00000001-AA3E-4CDF-9934-62A7BE75F8F4}"/>
            </c:ext>
          </c:extLst>
        </c:ser>
        <c:ser>
          <c:idx val="2"/>
          <c:order val="2"/>
          <c:tx>
            <c:v>Qtr3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Lit>
              <c:ptCount val="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</c:strLit>
          </c:cat>
          <c:val>
            <c:numLit>
              <c:formatCode>General</c:formatCode>
              <c:ptCount val="5"/>
              <c:pt idx="0">
                <c:v>89041</c:v>
              </c:pt>
              <c:pt idx="1">
                <c:v>100742</c:v>
              </c:pt>
              <c:pt idx="2">
                <c:v>87157</c:v>
              </c:pt>
              <c:pt idx="3">
                <c:v>42517</c:v>
              </c:pt>
              <c:pt idx="4">
                <c:v>84890</c:v>
              </c:pt>
            </c:numLit>
          </c:val>
          <c:extLst>
            <c:ext xmlns:c16="http://schemas.microsoft.com/office/drawing/2014/chart" uri="{C3380CC4-5D6E-409C-BE32-E72D297353CC}">
              <c16:uniqueId val="{00000002-AA3E-4CDF-9934-62A7BE75F8F4}"/>
            </c:ext>
          </c:extLst>
        </c:ser>
        <c:ser>
          <c:idx val="3"/>
          <c:order val="3"/>
          <c:tx>
            <c:v>Qtr4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Lit>
              <c:ptCount val="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</c:strLit>
          </c:cat>
          <c:val>
            <c:numLit>
              <c:formatCode>General</c:formatCode>
              <c:ptCount val="5"/>
              <c:pt idx="0">
                <c:v>62776</c:v>
              </c:pt>
              <c:pt idx="1">
                <c:v>83707</c:v>
              </c:pt>
              <c:pt idx="2">
                <c:v>78945</c:v>
              </c:pt>
              <c:pt idx="3">
                <c:v>65072</c:v>
              </c:pt>
              <c:pt idx="4">
                <c:v>45536</c:v>
              </c:pt>
            </c:numLit>
          </c:val>
          <c:extLst>
            <c:ext xmlns:c16="http://schemas.microsoft.com/office/drawing/2014/chart" uri="{C3380CC4-5D6E-409C-BE32-E72D297353CC}">
              <c16:uniqueId val="{00000003-AA3E-4CDF-9934-62A7BE75F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01687344"/>
        <c:axId val="701688328"/>
        <c:axId val="702458696"/>
      </c:bar3DChart>
      <c:catAx>
        <c:axId val="70168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שנה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1688328"/>
        <c:crosses val="autoZero"/>
        <c:auto val="1"/>
        <c:lblAlgn val="ctr"/>
        <c:lblOffset val="100"/>
        <c:noMultiLvlLbl val="0"/>
      </c:catAx>
      <c:valAx>
        <c:axId val="70168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סכום הכנסה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7.5520859300523616E-2"/>
              <c:y val="0.333385167740027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_(&quot;₪&quot;* #,##0_);_(&quot;₪&quot;* \(#,##0\);_(&quot;₪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1687344"/>
        <c:crosses val="autoZero"/>
        <c:crossBetween val="between"/>
      </c:valAx>
      <c:serAx>
        <c:axId val="70245869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/>
                  <a:t>רבעון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8778565604056775"/>
              <c:y val="0.629880048114692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16883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he-IL" u="sng"/>
              <a:t>מספר השכרות בשנה</a:t>
            </a:r>
            <a:endParaRPr lang="en-US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solidFill>
            <a:schemeClr val="accent2"/>
          </a:solidFill>
          <a:ln w="28575" cap="rnd" cmpd="sng" algn="ctr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</c:pivotFmt>
      <c:pivotFmt>
        <c:idx val="1"/>
        <c:spPr>
          <a:solidFill>
            <a:schemeClr val="accent2"/>
          </a:solidFill>
          <a:ln w="28575" cap="rnd" cmpd="sng" algn="ctr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</c:pivotFmt>
      <c:pivotFmt>
        <c:idx val="2"/>
        <c:spPr>
          <a:solidFill>
            <a:schemeClr val="accent2"/>
          </a:solidFill>
          <a:ln w="28575" cap="rnd" cmpd="sng" algn="ctr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2"/>
          </a:solidFill>
          <a:ln w="28575" cap="rnd" cmpd="sng" algn="ctr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</c:strLit>
          </c:cat>
          <c:val>
            <c:numLit>
              <c:formatCode>General</c:formatCode>
              <c:ptCount val="5"/>
              <c:pt idx="0">
                <c:v>23</c:v>
              </c:pt>
              <c:pt idx="1">
                <c:v>19</c:v>
              </c:pt>
              <c:pt idx="2">
                <c:v>20</c:v>
              </c:pt>
              <c:pt idx="3">
                <c:v>15</c:v>
              </c:pt>
              <c:pt idx="4">
                <c:v>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E8-489C-A70A-0040045A458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01381000"/>
        <c:axId val="701387560"/>
      </c:lineChart>
      <c:catAx>
        <c:axId val="701381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600"/>
                  <a:t>שנה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1387560"/>
        <c:crosses val="autoZero"/>
        <c:auto val="1"/>
        <c:lblAlgn val="ctr"/>
        <c:lblOffset val="100"/>
        <c:noMultiLvlLbl val="0"/>
      </c:catAx>
      <c:valAx>
        <c:axId val="70138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מספר השכרות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1381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 sz="1600" u="sng"/>
              <a:t>סך הרווחים בשנה</a:t>
            </a:r>
          </a:p>
        </c:rich>
      </c:tx>
      <c:layout>
        <c:manualLayout>
          <c:xMode val="edge"/>
          <c:yMode val="edge"/>
          <c:x val="0.38051036045721853"/>
          <c:y val="2.39808153477218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17850909078497829"/>
          <c:y val="0.24490454880190335"/>
          <c:w val="0.79765042373604467"/>
          <c:h val="0.498900407233268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Chart3!$B$13</c:f>
              <c:strCache>
                <c:ptCount val="1"/>
                <c:pt idx="0">
                  <c:v>2016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Chart3!$C$13</c:f>
              <c:numCache>
                <c:formatCode>_ [$₪-40D]\ * #,##0_ ;_ [$₪-40D]\ * \-#,##0_ ;_ [$₪-40D]\ * "-"??_ ;_ @_ </c:formatCode>
                <c:ptCount val="1"/>
                <c:pt idx="0">
                  <c:v>270115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E-4E1A-A150-4D4AB80C82AC}"/>
            </c:ext>
          </c:extLst>
        </c:ser>
        <c:ser>
          <c:idx val="1"/>
          <c:order val="1"/>
          <c:tx>
            <c:strRef>
              <c:f>Chart3!$B$14</c:f>
              <c:strCache>
                <c:ptCount val="1"/>
                <c:pt idx="0">
                  <c:v>2017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Chart3!$C$14</c:f>
              <c:numCache>
                <c:formatCode>_ [$₪-40D]\ * #,##0_ ;_ [$₪-40D]\ * \-#,##0_ ;_ [$₪-40D]\ * "-"??_ ;_ @_ </c:formatCode>
                <c:ptCount val="1"/>
                <c:pt idx="0">
                  <c:v>278618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AE-4E1A-A150-4D4AB80C82AC}"/>
            </c:ext>
          </c:extLst>
        </c:ser>
        <c:ser>
          <c:idx val="2"/>
          <c:order val="2"/>
          <c:tx>
            <c:strRef>
              <c:f>Chart3!$B$15</c:f>
              <c:strCache>
                <c:ptCount val="1"/>
                <c:pt idx="0">
                  <c:v>2018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Chart3!$C$15</c:f>
              <c:numCache>
                <c:formatCode>_ [$₪-40D]\ * #,##0_ ;_ [$₪-40D]\ * \-#,##0_ ;_ [$₪-40D]\ * "-"??_ ;_ @_ </c:formatCode>
                <c:ptCount val="1"/>
                <c:pt idx="0">
                  <c:v>259523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AE-4E1A-A150-4D4AB80C82AC}"/>
            </c:ext>
          </c:extLst>
        </c:ser>
        <c:ser>
          <c:idx val="3"/>
          <c:order val="3"/>
          <c:tx>
            <c:strRef>
              <c:f>Chart3!$B$16</c:f>
              <c:strCache>
                <c:ptCount val="1"/>
                <c:pt idx="0">
                  <c:v>2019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Chart3!$C$16</c:f>
              <c:numCache>
                <c:formatCode>_ [$₪-40D]\ * #,##0_ ;_ [$₪-40D]\ * \-#,##0_ ;_ [$₪-40D]\ * "-"??_ ;_ @_ </c:formatCode>
                <c:ptCount val="1"/>
                <c:pt idx="0">
                  <c:v>170215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AE-4E1A-A150-4D4AB80C82AC}"/>
            </c:ext>
          </c:extLst>
        </c:ser>
        <c:ser>
          <c:idx val="4"/>
          <c:order val="4"/>
          <c:tx>
            <c:strRef>
              <c:f>Chart3!$B$17</c:f>
              <c:strCache>
                <c:ptCount val="1"/>
                <c:pt idx="0">
                  <c:v>2020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Chart3!$C$17</c:f>
              <c:numCache>
                <c:formatCode>_ [$₪-40D]\ * #,##0_ ;_ [$₪-40D]\ * \-#,##0_ ;_ [$₪-40D]\ * "-"??_ ;_ @_ </c:formatCode>
                <c:ptCount val="1"/>
                <c:pt idx="0">
                  <c:v>185325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AE-4E1A-A150-4D4AB80C82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100311120"/>
        <c:axId val="1100311952"/>
      </c:barChart>
      <c:catAx>
        <c:axId val="1100311120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שנה</a:t>
                </a:r>
              </a:p>
            </c:rich>
          </c:tx>
          <c:layout>
            <c:manualLayout>
              <c:xMode val="edge"/>
              <c:yMode val="edge"/>
              <c:x val="0.49929997371914986"/>
              <c:y val="0.8557154276578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crossAx val="1100311952"/>
        <c:crosses val="autoZero"/>
        <c:auto val="1"/>
        <c:lblAlgn val="ctr"/>
        <c:lblOffset val="100"/>
        <c:noMultiLvlLbl val="0"/>
      </c:catAx>
      <c:valAx>
        <c:axId val="1100311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רווחים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_ [$₪-40D]\ * #,##0_ ;_ [$₪-40D]\ * \-#,##0_ ;_ [$₪-40D]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10031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2176071456607585"/>
          <c:y val="0.78097521982414064"/>
          <c:w val="0.68868489943308453"/>
          <c:h val="6.7446515228761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he-IL" u="sng"/>
              <a:t>התפלגות נכסים לפי אזור</a:t>
            </a:r>
            <a:endParaRPr lang="en-US" u="sng"/>
          </a:p>
        </c:rich>
      </c:tx>
      <c:layout>
        <c:manualLayout>
          <c:xMode val="edge"/>
          <c:yMode val="edge"/>
          <c:x val="0.38184245322979099"/>
          <c:y val="2.64876878035865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9382094001494846"/>
          <c:y val="0.16815094965373253"/>
          <c:w val="0.45954355043367923"/>
          <c:h val="0.77593851014552517"/>
        </c:manualLayout>
      </c:layout>
      <c:pie3D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F6DB-4DA6-B8DB-F0FE84F783B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F6DB-4DA6-B8DB-F0FE84F783B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F6DB-4DA6-B8DB-F0FE84F783B8}"/>
              </c:ext>
            </c:extLst>
          </c:dPt>
          <c:dLbls>
            <c:dLbl>
              <c:idx val="0"/>
              <c:layout>
                <c:manualLayout>
                  <c:x val="-6.8890050565435026E-2"/>
                  <c:y val="8.093803491954809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DB-4DA6-B8DB-F0FE84F783B8}"/>
                </c:ext>
              </c:extLst>
            </c:dLbl>
            <c:dLbl>
              <c:idx val="1"/>
              <c:layout>
                <c:manualLayout>
                  <c:x val="-8.5845961922162178E-2"/>
                  <c:y val="-0.2172582448933013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DB-4DA6-B8DB-F0FE84F783B8}"/>
                </c:ext>
              </c:extLst>
            </c:dLbl>
            <c:dLbl>
              <c:idx val="2"/>
              <c:layout>
                <c:manualLayout>
                  <c:x val="0.11032545092069444"/>
                  <c:y val="4.288348739016318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6DB-4DA6-B8DB-F0FE84F783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דרום</c:v>
              </c:pt>
              <c:pt idx="1">
                <c:v>מרכז</c:v>
              </c:pt>
              <c:pt idx="2">
                <c:v>צפון</c:v>
              </c:pt>
            </c:strLit>
          </c:cat>
          <c:val>
            <c:numLit>
              <c:formatCode>General</c:formatCode>
              <c:ptCount val="3"/>
              <c:pt idx="0">
                <c:v>19</c:v>
              </c:pt>
              <c:pt idx="1">
                <c:v>46</c:v>
              </c:pt>
              <c:pt idx="2">
                <c:v>35</c:v>
              </c:pt>
            </c:numLit>
          </c:val>
          <c:extLst>
            <c:ext xmlns:c16="http://schemas.microsoft.com/office/drawing/2014/chart" uri="{C3380CC4-5D6E-409C-BE32-E72D297353CC}">
              <c16:uniqueId val="{00000006-F6DB-4DA6-B8DB-F0FE84F78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he-IL" u="sng"/>
              <a:t>מס' יחידות למנהל</a:t>
            </a:r>
            <a:endParaRPr lang="en-US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78775533493096"/>
          <c:y val="0.12042628774422734"/>
          <c:w val="0.864626277821681"/>
          <c:h val="0.52908251737993828"/>
        </c:manualLayout>
      </c:layout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Lit>
              <c:ptCount val="51"/>
              <c:pt idx="0">
                <c:v>אביב כוכבי</c:v>
              </c:pt>
              <c:pt idx="1">
                <c:v>אביבה כהן</c:v>
              </c:pt>
              <c:pt idx="2">
                <c:v>אביתר משעלי</c:v>
              </c:pt>
              <c:pt idx="3">
                <c:v>אברהם ימיני</c:v>
              </c:pt>
              <c:pt idx="4">
                <c:v>אהובה תנעמי</c:v>
              </c:pt>
              <c:pt idx="5">
                <c:v>אחיטוב גדליה</c:v>
              </c:pt>
              <c:pt idx="6">
                <c:v>אחינועם ספאני</c:v>
              </c:pt>
              <c:pt idx="7">
                <c:v>אלישמע ויסמן</c:v>
              </c:pt>
              <c:pt idx="8">
                <c:v>אלישע יעקבי</c:v>
              </c:pt>
              <c:pt idx="9">
                <c:v>אלעד אריה</c:v>
              </c:pt>
              <c:pt idx="10">
                <c:v>אריאל חסטר</c:v>
              </c:pt>
              <c:pt idx="11">
                <c:v>בני וולקן</c:v>
              </c:pt>
              <c:pt idx="12">
                <c:v>בניה ביתן</c:v>
              </c:pt>
              <c:pt idx="13">
                <c:v>דוד יהלומי</c:v>
              </c:pt>
              <c:pt idx="14">
                <c:v>דוד סיבוני</c:v>
              </c:pt>
              <c:pt idx="15">
                <c:v>דוד תורג'מן</c:v>
              </c:pt>
              <c:pt idx="16">
                <c:v>דנה לוי</c:v>
              </c:pt>
              <c:pt idx="17">
                <c:v>הראל יחיאל</c:v>
              </c:pt>
              <c:pt idx="18">
                <c:v>ורדה כהן</c:v>
              </c:pt>
              <c:pt idx="19">
                <c:v>זמרי וולקן</c:v>
              </c:pt>
              <c:pt idx="20">
                <c:v>זקרי ויצמן</c:v>
              </c:pt>
              <c:pt idx="21">
                <c:v>חיים לבייב</c:v>
              </c:pt>
              <c:pt idx="22">
                <c:v>יהושוע שפירא</c:v>
              </c:pt>
              <c:pt idx="23">
                <c:v>יוחנן אטון</c:v>
              </c:pt>
              <c:pt idx="24">
                <c:v>יונית סרוסי</c:v>
              </c:pt>
              <c:pt idx="25">
                <c:v>יוסי דוידוב</c:v>
              </c:pt>
              <c:pt idx="26">
                <c:v>יוסי ויצמן</c:v>
              </c:pt>
              <c:pt idx="27">
                <c:v>יוסי עמרמי</c:v>
              </c:pt>
              <c:pt idx="28">
                <c:v>יוסף בר ששת</c:v>
              </c:pt>
              <c:pt idx="29">
                <c:v>יפית חכמוני</c:v>
              </c:pt>
              <c:pt idx="30">
                <c:v>מאיר קנטן</c:v>
              </c:pt>
              <c:pt idx="31">
                <c:v>מלכיאל חזן</c:v>
              </c:pt>
              <c:pt idx="32">
                <c:v>משה שרביט</c:v>
              </c:pt>
              <c:pt idx="33">
                <c:v>ניר טבורי</c:v>
              </c:pt>
              <c:pt idx="34">
                <c:v>נעמה קופיצקי</c:v>
              </c:pt>
              <c:pt idx="35">
                <c:v>נריה אבידן</c:v>
              </c:pt>
              <c:pt idx="36">
                <c:v>נתי שרגא</c:v>
              </c:pt>
              <c:pt idx="37">
                <c:v>נתמאל דמלין</c:v>
              </c:pt>
              <c:pt idx="38">
                <c:v>נתנאל סבג</c:v>
              </c:pt>
              <c:pt idx="39">
                <c:v>סעדיה נבון</c:v>
              </c:pt>
              <c:pt idx="40">
                <c:v>עמיחי טאוב</c:v>
              </c:pt>
              <c:pt idx="41">
                <c:v>עמית כהן</c:v>
              </c:pt>
              <c:pt idx="42">
                <c:v>עמית ששון</c:v>
              </c:pt>
              <c:pt idx="43">
                <c:v>צוריאל חריר</c:v>
              </c:pt>
              <c:pt idx="44">
                <c:v>קובי בן - עזרא</c:v>
              </c:pt>
              <c:pt idx="45">
                <c:v>רבקה דמרי</c:v>
              </c:pt>
              <c:pt idx="46">
                <c:v>שושנה פנט</c:v>
              </c:pt>
              <c:pt idx="47">
                <c:v>שלומי בן חיים</c:v>
              </c:pt>
              <c:pt idx="48">
                <c:v>שמואל שרייבר</c:v>
              </c:pt>
              <c:pt idx="49">
                <c:v>שמחה אטיאס</c:v>
              </c:pt>
              <c:pt idx="50">
                <c:v>שמרית קוממי</c:v>
              </c:pt>
            </c:strLit>
          </c:cat>
          <c:val>
            <c:numLit>
              <c:formatCode>General</c:formatCode>
              <c:ptCount val="51"/>
              <c:pt idx="0">
                <c:v>1</c:v>
              </c:pt>
              <c:pt idx="1">
                <c:v>2</c:v>
              </c:pt>
              <c:pt idx="2">
                <c:v>2</c:v>
              </c:pt>
              <c:pt idx="3">
                <c:v>1</c:v>
              </c:pt>
              <c:pt idx="4">
                <c:v>2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2</c:v>
              </c:pt>
              <c:pt idx="10">
                <c:v>1</c:v>
              </c:pt>
              <c:pt idx="11">
                <c:v>2</c:v>
              </c:pt>
              <c:pt idx="12">
                <c:v>1</c:v>
              </c:pt>
              <c:pt idx="13">
                <c:v>4</c:v>
              </c:pt>
              <c:pt idx="14">
                <c:v>1</c:v>
              </c:pt>
              <c:pt idx="15">
                <c:v>1</c:v>
              </c:pt>
              <c:pt idx="16">
                <c:v>6</c:v>
              </c:pt>
              <c:pt idx="17">
                <c:v>2</c:v>
              </c:pt>
              <c:pt idx="18">
                <c:v>2</c:v>
              </c:pt>
              <c:pt idx="19">
                <c:v>4</c:v>
              </c:pt>
              <c:pt idx="20">
                <c:v>1</c:v>
              </c:pt>
              <c:pt idx="21">
                <c:v>2</c:v>
              </c:pt>
              <c:pt idx="22">
                <c:v>3</c:v>
              </c:pt>
              <c:pt idx="23">
                <c:v>1</c:v>
              </c:pt>
              <c:pt idx="24">
                <c:v>1</c:v>
              </c:pt>
              <c:pt idx="25">
                <c:v>2</c:v>
              </c:pt>
              <c:pt idx="26">
                <c:v>1</c:v>
              </c:pt>
              <c:pt idx="27">
                <c:v>3</c:v>
              </c:pt>
              <c:pt idx="28">
                <c:v>2</c:v>
              </c:pt>
              <c:pt idx="29">
                <c:v>1</c:v>
              </c:pt>
              <c:pt idx="30">
                <c:v>3</c:v>
              </c:pt>
              <c:pt idx="31">
                <c:v>1</c:v>
              </c:pt>
              <c:pt idx="32">
                <c:v>1</c:v>
              </c:pt>
              <c:pt idx="33">
                <c:v>2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3</c:v>
              </c:pt>
              <c:pt idx="38">
                <c:v>1</c:v>
              </c:pt>
              <c:pt idx="39">
                <c:v>2</c:v>
              </c:pt>
              <c:pt idx="40">
                <c:v>1</c:v>
              </c:pt>
              <c:pt idx="41">
                <c:v>1</c:v>
              </c:pt>
              <c:pt idx="42">
                <c:v>2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4</c:v>
              </c:pt>
              <c:pt idx="47">
                <c:v>2</c:v>
              </c:pt>
              <c:pt idx="48">
                <c:v>1</c:v>
              </c:pt>
              <c:pt idx="49">
                <c:v>5</c:v>
              </c:pt>
              <c:pt idx="5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EAD8-4DB1-A32A-96CC2D288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34572760"/>
        <c:axId val="834571776"/>
        <c:axId val="713294000"/>
      </c:bar3DChart>
      <c:catAx>
        <c:axId val="834572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שמות המנהלים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46281185831214872"/>
              <c:y val="0.73003808655654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34571776"/>
        <c:crosses val="autoZero"/>
        <c:auto val="1"/>
        <c:lblAlgn val="ctr"/>
        <c:lblOffset val="100"/>
        <c:noMultiLvlLbl val="0"/>
      </c:catAx>
      <c:valAx>
        <c:axId val="83457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34572760"/>
        <c:crosses val="autoZero"/>
        <c:crossBetween val="between"/>
      </c:valAx>
      <c:serAx>
        <c:axId val="713294000"/>
        <c:scaling>
          <c:orientation val="minMax"/>
        </c:scaling>
        <c:delete val="1"/>
        <c:axPos val="b"/>
        <c:title>
          <c:tx>
            <c:rich>
              <a:bodyPr rot="-5400000" spcFirstLastPara="1" vertOverflow="ellipsis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כמות היחידות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5.045669291338583E-2"/>
              <c:y val="0.281560717015339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majorTickMark val="none"/>
        <c:minorTickMark val="none"/>
        <c:tickLblPos val="nextTo"/>
        <c:crossAx val="8345717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he-IL" u="sng"/>
              <a:t>התפלגות נכסים לפי אזור</a:t>
            </a:r>
            <a:endParaRPr lang="en-US" u="sng"/>
          </a:p>
        </c:rich>
      </c:tx>
      <c:layout>
        <c:manualLayout>
          <c:xMode val="edge"/>
          <c:yMode val="edge"/>
          <c:x val="0.38184245322979099"/>
          <c:y val="2.64876878035865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9382094001494846"/>
          <c:y val="0.16815094965373253"/>
          <c:w val="0.45954355043367923"/>
          <c:h val="0.77593851014552517"/>
        </c:manualLayout>
      </c:layout>
      <c:pie3D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F8EB-4299-A64F-C31655AA704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F8EB-4299-A64F-C31655AA704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F8EB-4299-A64F-C31655AA704B}"/>
              </c:ext>
            </c:extLst>
          </c:dPt>
          <c:dLbls>
            <c:dLbl>
              <c:idx val="0"/>
              <c:layout>
                <c:manualLayout>
                  <c:x val="-6.8890050565435026E-2"/>
                  <c:y val="8.093803491954809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EB-4299-A64F-C31655AA704B}"/>
                </c:ext>
              </c:extLst>
            </c:dLbl>
            <c:dLbl>
              <c:idx val="1"/>
              <c:layout>
                <c:manualLayout>
                  <c:x val="-8.5845961922162178E-2"/>
                  <c:y val="-0.2172582448933013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EB-4299-A64F-C31655AA704B}"/>
                </c:ext>
              </c:extLst>
            </c:dLbl>
            <c:dLbl>
              <c:idx val="2"/>
              <c:layout>
                <c:manualLayout>
                  <c:x val="0.11032545092069444"/>
                  <c:y val="4.288348739016318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EB-4299-A64F-C31655AA70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דרום</c:v>
              </c:pt>
              <c:pt idx="1">
                <c:v>מרכז</c:v>
              </c:pt>
              <c:pt idx="2">
                <c:v>צפון</c:v>
              </c:pt>
            </c:strLit>
          </c:cat>
          <c:val>
            <c:numLit>
              <c:formatCode>General</c:formatCode>
              <c:ptCount val="3"/>
              <c:pt idx="0">
                <c:v>19</c:v>
              </c:pt>
              <c:pt idx="1">
                <c:v>46</c:v>
              </c:pt>
              <c:pt idx="2">
                <c:v>35</c:v>
              </c:pt>
            </c:numLit>
          </c:val>
          <c:extLst>
            <c:ext xmlns:c16="http://schemas.microsoft.com/office/drawing/2014/chart" uri="{C3380CC4-5D6E-409C-BE32-E72D297353CC}">
              <c16:uniqueId val="{00000006-F8EB-4299-A64F-C31655AA7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he-IL" u="sng"/>
              <a:t>גרף הכנסות לפי רבעון שנתי</a:t>
            </a:r>
            <a:endParaRPr lang="en-US" u="sng"/>
          </a:p>
        </c:rich>
      </c:tx>
      <c:layout>
        <c:manualLayout>
          <c:xMode val="edge"/>
          <c:yMode val="edge"/>
          <c:x val="0.33297088081817405"/>
          <c:y val="2.809969104101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0"/>
      </c:pivotFmt>
      <c:pivotFmt>
        <c:idx val="131"/>
      </c:pivotFmt>
      <c:pivotFmt>
        <c:idx val="132"/>
      </c:pivotFmt>
      <c:pivotFmt>
        <c:idx val="133"/>
      </c:pivotFmt>
      <c:pivotFmt>
        <c:idx val="1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8684427156461889"/>
          <c:y val="0.14897752745214971"/>
          <c:w val="0.68469586717887876"/>
          <c:h val="0.64475696671380256"/>
        </c:manualLayout>
      </c:layout>
      <c:bar3DChart>
        <c:barDir val="col"/>
        <c:grouping val="standard"/>
        <c:varyColors val="0"/>
        <c:ser>
          <c:idx val="0"/>
          <c:order val="0"/>
          <c:tx>
            <c:v>Qtr1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Lit>
              <c:ptCount val="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</c:strLit>
          </c:cat>
          <c:val>
            <c:numLit>
              <c:formatCode>General</c:formatCode>
              <c:ptCount val="5"/>
              <c:pt idx="0">
                <c:v>86397</c:v>
              </c:pt>
              <c:pt idx="1">
                <c:v>68490</c:v>
              </c:pt>
              <c:pt idx="2">
                <c:v>23083</c:v>
              </c:pt>
              <c:pt idx="3">
                <c:v>33521</c:v>
              </c:pt>
              <c:pt idx="4">
                <c:v>41216</c:v>
              </c:pt>
            </c:numLit>
          </c:val>
          <c:extLst>
            <c:ext xmlns:c16="http://schemas.microsoft.com/office/drawing/2014/chart" uri="{C3380CC4-5D6E-409C-BE32-E72D297353CC}">
              <c16:uniqueId val="{00000000-1796-4934-ABCF-D55667425E12}"/>
            </c:ext>
          </c:extLst>
        </c:ser>
        <c:ser>
          <c:idx val="1"/>
          <c:order val="1"/>
          <c:tx>
            <c:v>Qtr2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Lit>
              <c:ptCount val="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</c:strLit>
          </c:cat>
          <c:val>
            <c:numLit>
              <c:formatCode>General</c:formatCode>
              <c:ptCount val="5"/>
              <c:pt idx="0">
                <c:v>64939</c:v>
              </c:pt>
              <c:pt idx="1">
                <c:v>53471</c:v>
              </c:pt>
              <c:pt idx="2">
                <c:v>98322</c:v>
              </c:pt>
              <c:pt idx="3">
                <c:v>51476</c:v>
              </c:pt>
              <c:pt idx="4">
                <c:v>33573</c:v>
              </c:pt>
            </c:numLit>
          </c:val>
          <c:extLst>
            <c:ext xmlns:c16="http://schemas.microsoft.com/office/drawing/2014/chart" uri="{C3380CC4-5D6E-409C-BE32-E72D297353CC}">
              <c16:uniqueId val="{00000001-1796-4934-ABCF-D55667425E12}"/>
            </c:ext>
          </c:extLst>
        </c:ser>
        <c:ser>
          <c:idx val="2"/>
          <c:order val="2"/>
          <c:tx>
            <c:v>Qtr3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Lit>
              <c:ptCount val="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</c:strLit>
          </c:cat>
          <c:val>
            <c:numLit>
              <c:formatCode>General</c:formatCode>
              <c:ptCount val="5"/>
              <c:pt idx="0">
                <c:v>89041</c:v>
              </c:pt>
              <c:pt idx="1">
                <c:v>100742</c:v>
              </c:pt>
              <c:pt idx="2">
                <c:v>87157</c:v>
              </c:pt>
              <c:pt idx="3">
                <c:v>42517</c:v>
              </c:pt>
              <c:pt idx="4">
                <c:v>84890</c:v>
              </c:pt>
            </c:numLit>
          </c:val>
          <c:extLst>
            <c:ext xmlns:c16="http://schemas.microsoft.com/office/drawing/2014/chart" uri="{C3380CC4-5D6E-409C-BE32-E72D297353CC}">
              <c16:uniqueId val="{00000002-1796-4934-ABCF-D55667425E12}"/>
            </c:ext>
          </c:extLst>
        </c:ser>
        <c:ser>
          <c:idx val="3"/>
          <c:order val="3"/>
          <c:tx>
            <c:v>Qtr4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Lit>
              <c:ptCount val="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</c:strLit>
          </c:cat>
          <c:val>
            <c:numLit>
              <c:formatCode>General</c:formatCode>
              <c:ptCount val="5"/>
              <c:pt idx="0">
                <c:v>62776</c:v>
              </c:pt>
              <c:pt idx="1">
                <c:v>83707</c:v>
              </c:pt>
              <c:pt idx="2">
                <c:v>78945</c:v>
              </c:pt>
              <c:pt idx="3">
                <c:v>65072</c:v>
              </c:pt>
              <c:pt idx="4">
                <c:v>45536</c:v>
              </c:pt>
            </c:numLit>
          </c:val>
          <c:extLst>
            <c:ext xmlns:c16="http://schemas.microsoft.com/office/drawing/2014/chart" uri="{C3380CC4-5D6E-409C-BE32-E72D297353CC}">
              <c16:uniqueId val="{00000003-1796-4934-ABCF-D55667425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01687344"/>
        <c:axId val="701688328"/>
        <c:axId val="702458696"/>
      </c:bar3DChart>
      <c:catAx>
        <c:axId val="70168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שנה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1688328"/>
        <c:crosses val="autoZero"/>
        <c:auto val="1"/>
        <c:lblAlgn val="ctr"/>
        <c:lblOffset val="100"/>
        <c:noMultiLvlLbl val="0"/>
      </c:catAx>
      <c:valAx>
        <c:axId val="70168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סכום הכנסה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7.5520859300523616E-2"/>
              <c:y val="0.333385167740027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_(&quot;₪&quot;* #,##0_);_(&quot;₪&quot;* \(#,##0\);_(&quot;₪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1687344"/>
        <c:crosses val="autoZero"/>
        <c:crossBetween val="between"/>
      </c:valAx>
      <c:serAx>
        <c:axId val="70245869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/>
                  <a:t>רבעון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8778565604056775"/>
              <c:y val="0.629880048114692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16883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he-IL" u="sng"/>
              <a:t>מספר השכרות בשנה</a:t>
            </a:r>
            <a:endParaRPr lang="en-US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solidFill>
            <a:schemeClr val="accent2"/>
          </a:solidFill>
          <a:ln w="28575" cap="rnd" cmpd="sng" algn="ctr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</c:pivotFmt>
      <c:pivotFmt>
        <c:idx val="1"/>
        <c:spPr>
          <a:solidFill>
            <a:schemeClr val="accent2"/>
          </a:solidFill>
          <a:ln w="28575" cap="rnd" cmpd="sng" algn="ctr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</c:pivotFmt>
      <c:pivotFmt>
        <c:idx val="2"/>
        <c:spPr>
          <a:solidFill>
            <a:schemeClr val="accent2"/>
          </a:solidFill>
          <a:ln w="28575" cap="rnd" cmpd="sng" algn="ctr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2"/>
          </a:solidFill>
          <a:ln w="28575" cap="rnd" cmpd="sng" algn="ctr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</c:strLit>
          </c:cat>
          <c:val>
            <c:numLit>
              <c:formatCode>General</c:formatCode>
              <c:ptCount val="5"/>
              <c:pt idx="0">
                <c:v>23</c:v>
              </c:pt>
              <c:pt idx="1">
                <c:v>19</c:v>
              </c:pt>
              <c:pt idx="2">
                <c:v>20</c:v>
              </c:pt>
              <c:pt idx="3">
                <c:v>15</c:v>
              </c:pt>
              <c:pt idx="4">
                <c:v>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B6D-454A-AF9F-D6408848CC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01381000"/>
        <c:axId val="701387560"/>
      </c:lineChart>
      <c:catAx>
        <c:axId val="701381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600"/>
                  <a:t>שנה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1387560"/>
        <c:crosses val="autoZero"/>
        <c:auto val="1"/>
        <c:lblAlgn val="ctr"/>
        <c:lblOffset val="100"/>
        <c:noMultiLvlLbl val="0"/>
      </c:catAx>
      <c:valAx>
        <c:axId val="70138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מספר השכרות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1381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he-IL" u="sng"/>
              <a:t>סך הרווחים בשנה</a:t>
            </a:r>
          </a:p>
        </c:rich>
      </c:tx>
      <c:layout>
        <c:manualLayout>
          <c:xMode val="edge"/>
          <c:yMode val="edge"/>
          <c:x val="0.38051036045721853"/>
          <c:y val="2.39808153477218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17850909078497829"/>
          <c:y val="0.24490454880190335"/>
          <c:w val="0.79765042373604467"/>
          <c:h val="0.498900407233268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Chart3!$B$13</c:f>
              <c:strCache>
                <c:ptCount val="1"/>
                <c:pt idx="0">
                  <c:v>2016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Chart3!$C$13</c:f>
              <c:numCache>
                <c:formatCode>_ [$₪-40D]\ * #,##0_ ;_ [$₪-40D]\ * \-#,##0_ ;_ [$₪-40D]\ * "-"??_ ;_ @_ </c:formatCode>
                <c:ptCount val="1"/>
                <c:pt idx="0">
                  <c:v>270115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D6-47A0-BF81-E9FE7FA51DEB}"/>
            </c:ext>
          </c:extLst>
        </c:ser>
        <c:ser>
          <c:idx val="1"/>
          <c:order val="1"/>
          <c:tx>
            <c:strRef>
              <c:f>Chart3!$B$14</c:f>
              <c:strCache>
                <c:ptCount val="1"/>
                <c:pt idx="0">
                  <c:v>2017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Chart3!$C$14</c:f>
              <c:numCache>
                <c:formatCode>_ [$₪-40D]\ * #,##0_ ;_ [$₪-40D]\ * \-#,##0_ ;_ [$₪-40D]\ * "-"??_ ;_ @_ </c:formatCode>
                <c:ptCount val="1"/>
                <c:pt idx="0">
                  <c:v>278618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D6-47A0-BF81-E9FE7FA51DEB}"/>
            </c:ext>
          </c:extLst>
        </c:ser>
        <c:ser>
          <c:idx val="2"/>
          <c:order val="2"/>
          <c:tx>
            <c:strRef>
              <c:f>Chart3!$B$15</c:f>
              <c:strCache>
                <c:ptCount val="1"/>
                <c:pt idx="0">
                  <c:v>2018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Chart3!$C$15</c:f>
              <c:numCache>
                <c:formatCode>_ [$₪-40D]\ * #,##0_ ;_ [$₪-40D]\ * \-#,##0_ ;_ [$₪-40D]\ * "-"??_ ;_ @_ </c:formatCode>
                <c:ptCount val="1"/>
                <c:pt idx="0">
                  <c:v>259523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D6-47A0-BF81-E9FE7FA51DEB}"/>
            </c:ext>
          </c:extLst>
        </c:ser>
        <c:ser>
          <c:idx val="3"/>
          <c:order val="3"/>
          <c:tx>
            <c:strRef>
              <c:f>Chart3!$B$16</c:f>
              <c:strCache>
                <c:ptCount val="1"/>
                <c:pt idx="0">
                  <c:v>2019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Chart3!$C$16</c:f>
              <c:numCache>
                <c:formatCode>_ [$₪-40D]\ * #,##0_ ;_ [$₪-40D]\ * \-#,##0_ ;_ [$₪-40D]\ * "-"??_ ;_ @_ </c:formatCode>
                <c:ptCount val="1"/>
                <c:pt idx="0">
                  <c:v>170215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D6-47A0-BF81-E9FE7FA51DEB}"/>
            </c:ext>
          </c:extLst>
        </c:ser>
        <c:ser>
          <c:idx val="4"/>
          <c:order val="4"/>
          <c:tx>
            <c:strRef>
              <c:f>Chart3!$B$17</c:f>
              <c:strCache>
                <c:ptCount val="1"/>
                <c:pt idx="0">
                  <c:v>2020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Chart3!$C$17</c:f>
              <c:numCache>
                <c:formatCode>_ [$₪-40D]\ * #,##0_ ;_ [$₪-40D]\ * \-#,##0_ ;_ [$₪-40D]\ * "-"??_ ;_ @_ </c:formatCode>
                <c:ptCount val="1"/>
                <c:pt idx="0">
                  <c:v>185325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D6-47A0-BF81-E9FE7FA51D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00311120"/>
        <c:axId val="1100311952"/>
      </c:barChart>
      <c:catAx>
        <c:axId val="110031112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שנה</a:t>
                </a:r>
              </a:p>
            </c:rich>
          </c:tx>
          <c:layout>
            <c:manualLayout>
              <c:xMode val="edge"/>
              <c:yMode val="edge"/>
              <c:x val="0.49929997371914986"/>
              <c:y val="0.8557154276578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crossAx val="1100311952"/>
        <c:crosses val="autoZero"/>
        <c:auto val="1"/>
        <c:lblAlgn val="ctr"/>
        <c:lblOffset val="100"/>
        <c:noMultiLvlLbl val="0"/>
      </c:catAx>
      <c:valAx>
        <c:axId val="11003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רווחים</a:t>
                </a:r>
              </a:p>
            </c:rich>
          </c:tx>
          <c:layout>
            <c:manualLayout>
              <c:xMode val="edge"/>
              <c:yMode val="edge"/>
              <c:x val="3.4796475279645842E-2"/>
              <c:y val="0.422789624415227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_ [$₪-40D]\ * #,##0_ ;_ [$₪-40D]\ * \-#,##0_ ;_ [$₪-40D]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10031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24390862086445"/>
          <c:y val="0.78878607915945986"/>
          <c:w val="0.84184408547643996"/>
          <c:h val="5.76040898113542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he-IL" u="sng"/>
              <a:t>מס' יחידות למנהל</a:t>
            </a:r>
            <a:endParaRPr lang="en-US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78775533493096"/>
          <c:y val="0.12042628774422734"/>
          <c:w val="0.864626277821681"/>
          <c:h val="0.52908251737993828"/>
        </c:manualLayout>
      </c:layout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Lit>
              <c:ptCount val="51"/>
              <c:pt idx="0">
                <c:v>אביב כוכבי</c:v>
              </c:pt>
              <c:pt idx="1">
                <c:v>אביבה כהן</c:v>
              </c:pt>
              <c:pt idx="2">
                <c:v>אביתר משעלי</c:v>
              </c:pt>
              <c:pt idx="3">
                <c:v>אברהם ימיני</c:v>
              </c:pt>
              <c:pt idx="4">
                <c:v>אהובה תנעמי</c:v>
              </c:pt>
              <c:pt idx="5">
                <c:v>אחיטוב גדליה</c:v>
              </c:pt>
              <c:pt idx="6">
                <c:v>אחינועם ספאני</c:v>
              </c:pt>
              <c:pt idx="7">
                <c:v>אלישמע ויסמן</c:v>
              </c:pt>
              <c:pt idx="8">
                <c:v>אלישע יעקבי</c:v>
              </c:pt>
              <c:pt idx="9">
                <c:v>אלעד אריה</c:v>
              </c:pt>
              <c:pt idx="10">
                <c:v>אריאל חסטר</c:v>
              </c:pt>
              <c:pt idx="11">
                <c:v>בני וולקן</c:v>
              </c:pt>
              <c:pt idx="12">
                <c:v>בניה ביתן</c:v>
              </c:pt>
              <c:pt idx="13">
                <c:v>דוד יהלומי</c:v>
              </c:pt>
              <c:pt idx="14">
                <c:v>דוד סיבוני</c:v>
              </c:pt>
              <c:pt idx="15">
                <c:v>דוד תורג'מן</c:v>
              </c:pt>
              <c:pt idx="16">
                <c:v>דנה לוי</c:v>
              </c:pt>
              <c:pt idx="17">
                <c:v>הראל יחיאל</c:v>
              </c:pt>
              <c:pt idx="18">
                <c:v>ורדה כהן</c:v>
              </c:pt>
              <c:pt idx="19">
                <c:v>זמרי וולקן</c:v>
              </c:pt>
              <c:pt idx="20">
                <c:v>זקרי ויצמן</c:v>
              </c:pt>
              <c:pt idx="21">
                <c:v>חיים לבייב</c:v>
              </c:pt>
              <c:pt idx="22">
                <c:v>יהושוע שפירא</c:v>
              </c:pt>
              <c:pt idx="23">
                <c:v>יוחנן אטון</c:v>
              </c:pt>
              <c:pt idx="24">
                <c:v>יונית סרוסי</c:v>
              </c:pt>
              <c:pt idx="25">
                <c:v>יוסי דוידוב</c:v>
              </c:pt>
              <c:pt idx="26">
                <c:v>יוסי ויצמן</c:v>
              </c:pt>
              <c:pt idx="27">
                <c:v>יוסי עמרמי</c:v>
              </c:pt>
              <c:pt idx="28">
                <c:v>יוסף בר ששת</c:v>
              </c:pt>
              <c:pt idx="29">
                <c:v>יפית חכמוני</c:v>
              </c:pt>
              <c:pt idx="30">
                <c:v>מאיר קנטן</c:v>
              </c:pt>
              <c:pt idx="31">
                <c:v>מלכיאל חזן</c:v>
              </c:pt>
              <c:pt idx="32">
                <c:v>משה שרביט</c:v>
              </c:pt>
              <c:pt idx="33">
                <c:v>ניר טבורי</c:v>
              </c:pt>
              <c:pt idx="34">
                <c:v>נעמה קופיצקי</c:v>
              </c:pt>
              <c:pt idx="35">
                <c:v>נריה אבידן</c:v>
              </c:pt>
              <c:pt idx="36">
                <c:v>נתי שרגא</c:v>
              </c:pt>
              <c:pt idx="37">
                <c:v>נתמאל דמלין</c:v>
              </c:pt>
              <c:pt idx="38">
                <c:v>נתנאל סבג</c:v>
              </c:pt>
              <c:pt idx="39">
                <c:v>סעדיה נבון</c:v>
              </c:pt>
              <c:pt idx="40">
                <c:v>עמיחי טאוב</c:v>
              </c:pt>
              <c:pt idx="41">
                <c:v>עמית כהן</c:v>
              </c:pt>
              <c:pt idx="42">
                <c:v>עמית ששון</c:v>
              </c:pt>
              <c:pt idx="43">
                <c:v>צוריאל חריר</c:v>
              </c:pt>
              <c:pt idx="44">
                <c:v>קובי בן - עזרא</c:v>
              </c:pt>
              <c:pt idx="45">
                <c:v>רבקה דמרי</c:v>
              </c:pt>
              <c:pt idx="46">
                <c:v>שושנה פנט</c:v>
              </c:pt>
              <c:pt idx="47">
                <c:v>שלומי בן חיים</c:v>
              </c:pt>
              <c:pt idx="48">
                <c:v>שמואל שרייבר</c:v>
              </c:pt>
              <c:pt idx="49">
                <c:v>שמחה אטיאס</c:v>
              </c:pt>
              <c:pt idx="50">
                <c:v>שמרית קוממי</c:v>
              </c:pt>
            </c:strLit>
          </c:cat>
          <c:val>
            <c:numLit>
              <c:formatCode>General</c:formatCode>
              <c:ptCount val="51"/>
              <c:pt idx="0">
                <c:v>1</c:v>
              </c:pt>
              <c:pt idx="1">
                <c:v>2</c:v>
              </c:pt>
              <c:pt idx="2">
                <c:v>2</c:v>
              </c:pt>
              <c:pt idx="3">
                <c:v>1</c:v>
              </c:pt>
              <c:pt idx="4">
                <c:v>2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2</c:v>
              </c:pt>
              <c:pt idx="10">
                <c:v>1</c:v>
              </c:pt>
              <c:pt idx="11">
                <c:v>2</c:v>
              </c:pt>
              <c:pt idx="12">
                <c:v>1</c:v>
              </c:pt>
              <c:pt idx="13">
                <c:v>4</c:v>
              </c:pt>
              <c:pt idx="14">
                <c:v>1</c:v>
              </c:pt>
              <c:pt idx="15">
                <c:v>1</c:v>
              </c:pt>
              <c:pt idx="16">
                <c:v>6</c:v>
              </c:pt>
              <c:pt idx="17">
                <c:v>2</c:v>
              </c:pt>
              <c:pt idx="18">
                <c:v>2</c:v>
              </c:pt>
              <c:pt idx="19">
                <c:v>4</c:v>
              </c:pt>
              <c:pt idx="20">
                <c:v>1</c:v>
              </c:pt>
              <c:pt idx="21">
                <c:v>2</c:v>
              </c:pt>
              <c:pt idx="22">
                <c:v>3</c:v>
              </c:pt>
              <c:pt idx="23">
                <c:v>1</c:v>
              </c:pt>
              <c:pt idx="24">
                <c:v>1</c:v>
              </c:pt>
              <c:pt idx="25">
                <c:v>2</c:v>
              </c:pt>
              <c:pt idx="26">
                <c:v>1</c:v>
              </c:pt>
              <c:pt idx="27">
                <c:v>3</c:v>
              </c:pt>
              <c:pt idx="28">
                <c:v>2</c:v>
              </c:pt>
              <c:pt idx="29">
                <c:v>1</c:v>
              </c:pt>
              <c:pt idx="30">
                <c:v>3</c:v>
              </c:pt>
              <c:pt idx="31">
                <c:v>1</c:v>
              </c:pt>
              <c:pt idx="32">
                <c:v>1</c:v>
              </c:pt>
              <c:pt idx="33">
                <c:v>2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3</c:v>
              </c:pt>
              <c:pt idx="38">
                <c:v>1</c:v>
              </c:pt>
              <c:pt idx="39">
                <c:v>2</c:v>
              </c:pt>
              <c:pt idx="40">
                <c:v>1</c:v>
              </c:pt>
              <c:pt idx="41">
                <c:v>1</c:v>
              </c:pt>
              <c:pt idx="42">
                <c:v>2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4</c:v>
              </c:pt>
              <c:pt idx="47">
                <c:v>2</c:v>
              </c:pt>
              <c:pt idx="48">
                <c:v>1</c:v>
              </c:pt>
              <c:pt idx="49">
                <c:v>5</c:v>
              </c:pt>
              <c:pt idx="5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CDF2-4003-B930-0C5022357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34572760"/>
        <c:axId val="834571776"/>
        <c:axId val="713294000"/>
      </c:bar3DChart>
      <c:catAx>
        <c:axId val="834572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שמות המנהלים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46281185831214872"/>
              <c:y val="0.73003808655654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34571776"/>
        <c:crosses val="autoZero"/>
        <c:auto val="1"/>
        <c:lblAlgn val="ctr"/>
        <c:lblOffset val="100"/>
        <c:noMultiLvlLbl val="0"/>
      </c:catAx>
      <c:valAx>
        <c:axId val="83457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834572760"/>
        <c:crosses val="autoZero"/>
        <c:crossBetween val="between"/>
      </c:valAx>
      <c:serAx>
        <c:axId val="713294000"/>
        <c:scaling>
          <c:orientation val="minMax"/>
        </c:scaling>
        <c:delete val="1"/>
        <c:axPos val="b"/>
        <c:title>
          <c:tx>
            <c:rich>
              <a:bodyPr rot="-5400000" spcFirstLastPara="1" vertOverflow="ellipsis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 sz="1400"/>
                  <a:t>כמות היחידות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5.045669291338583E-2"/>
              <c:y val="0.281560717015339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majorTickMark val="none"/>
        <c:minorTickMark val="none"/>
        <c:tickLblPos val="nextTo"/>
        <c:crossAx val="8345717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129540</xdr:colOff>
      <xdr:row>0</xdr:row>
      <xdr:rowOff>83820</xdr:rowOff>
    </xdr:from>
    <xdr:to>
      <xdr:col>19</xdr:col>
      <xdr:colOff>109220</xdr:colOff>
      <xdr:row>25</xdr:row>
      <xdr:rowOff>12700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7943D40-9C3A-44B2-8035-F812AEBB34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129540</xdr:rowOff>
    </xdr:from>
    <xdr:to>
      <xdr:col>22</xdr:col>
      <xdr:colOff>132080</xdr:colOff>
      <xdr:row>26</xdr:row>
      <xdr:rowOff>58420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320F3BEE-B6B1-4177-B175-FC24D8A70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1</xdr:row>
      <xdr:rowOff>45720</xdr:rowOff>
    </xdr:from>
    <xdr:to>
      <xdr:col>16</xdr:col>
      <xdr:colOff>297180</xdr:colOff>
      <xdr:row>18</xdr:row>
      <xdr:rowOff>99060</xdr:rowOff>
    </xdr:to>
    <xdr:graphicFrame macro="">
      <xdr:nvGraphicFramePr>
        <xdr:cNvPr id="7" name="תרשים 6">
          <a:extLst>
            <a:ext uri="{FF2B5EF4-FFF2-40B4-BE49-F238E27FC236}">
              <a16:creationId xmlns:a16="http://schemas.microsoft.com/office/drawing/2014/main" id="{8F275A8C-2A6A-45C6-973B-FCB1E77D48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487680</xdr:colOff>
      <xdr:row>1</xdr:row>
      <xdr:rowOff>76200</xdr:rowOff>
    </xdr:from>
    <xdr:to>
      <xdr:col>15</xdr:col>
      <xdr:colOff>429260</xdr:colOff>
      <xdr:row>26</xdr:row>
      <xdr:rowOff>5080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AECB45-F668-45B5-98E2-B60708710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281940</xdr:colOff>
      <xdr:row>1</xdr:row>
      <xdr:rowOff>22860</xdr:rowOff>
    </xdr:from>
    <xdr:to>
      <xdr:col>17</xdr:col>
      <xdr:colOff>200660</xdr:colOff>
      <xdr:row>25</xdr:row>
      <xdr:rowOff>142240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1EBF6F-6141-4C2B-A93C-83F2D06E5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582930</xdr:colOff>
      <xdr:row>0</xdr:row>
      <xdr:rowOff>0</xdr:rowOff>
    </xdr:from>
    <xdr:to>
      <xdr:col>21</xdr:col>
      <xdr:colOff>501650</xdr:colOff>
      <xdr:row>24</xdr:row>
      <xdr:rowOff>111760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6232DC-8BD4-47BE-BF14-C1269375F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589280</xdr:colOff>
      <xdr:row>24</xdr:row>
      <xdr:rowOff>111760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ADF80D-E914-4DE9-993F-89705E574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552450</xdr:colOff>
      <xdr:row>0</xdr:row>
      <xdr:rowOff>0</xdr:rowOff>
    </xdr:from>
    <xdr:to>
      <xdr:col>30</xdr:col>
      <xdr:colOff>471170</xdr:colOff>
      <xdr:row>24</xdr:row>
      <xdr:rowOff>111760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7979B5-0B26-463C-95BA-7E4BF9A98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26</xdr:row>
      <xdr:rowOff>24765</xdr:rowOff>
    </xdr:from>
    <xdr:to>
      <xdr:col>12</xdr:col>
      <xdr:colOff>589280</xdr:colOff>
      <xdr:row>50</xdr:row>
      <xdr:rowOff>136525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77CB4B0-3662-4FF8-9ACB-A3629664D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38100</xdr:colOff>
      <xdr:row>26</xdr:row>
      <xdr:rowOff>22860</xdr:rowOff>
    </xdr:from>
    <xdr:to>
      <xdr:col>25</xdr:col>
      <xdr:colOff>627380</xdr:colOff>
      <xdr:row>50</xdr:row>
      <xdr:rowOff>134620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8225E2A-8F1C-429F-A66B-188FF7B2C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&#1500;&#1497;&#1502;&#1493;&#1491;&#1497;&#1501;/&#1500;&#1497;&#1502;&#1493;&#1491;&#1497;&#1501;%20&#1514;&#1513;&#1508;&#1488;%20&#1505;&#1502;&#1505;&#1496;&#1512;%20&#1489;/&#1488;&#1511;&#1505;&#1500;/&#1508;&#1512;&#1493;&#1497;&#1497;&#1511;&#1496;%20&#1490;&#1502;&#1512;/&#1490;&#1502;&#1512;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-W10" refreshedDate="44354.93680729167" createdVersion="6" refreshedVersion="6" minRefreshableVersion="3" recordCount="91" xr:uid="{A09E70A6-C9A1-42DA-A2DF-C4E142EAD44B}">
  <cacheSource type="worksheet">
    <worksheetSource name="Table6" r:id="rId2"/>
  </cacheSource>
  <cacheFields count="11">
    <cacheField name="תחילת תאריך שכירות" numFmtId="15">
      <sharedItems containsSemiMixedTypes="0" containsNonDate="0" containsDate="1" containsString="0" minDate="2016-01-10T00:00:00" maxDate="2020-12-11T00:00:00"/>
    </cacheField>
    <cacheField name="סוף תאריך שכירות" numFmtId="15">
      <sharedItems containsSemiMixedTypes="0" containsNonDate="0" containsDate="1" containsString="0" minDate="2021-01-10T00:00:00" maxDate="2025-11-11T00:00:00" count="45">
        <d v="2023-07-10T00:00:00"/>
        <d v="2022-10-10T00:00:00"/>
        <d v="2022-09-10T00:00:00"/>
        <d v="2023-10-10T00:00:00"/>
        <d v="2022-08-10T00:00:00"/>
        <d v="2021-07-10T00:00:00"/>
        <d v="2021-08-10T00:00:00"/>
        <d v="2022-02-10T00:00:00"/>
        <d v="2023-08-10T00:00:00"/>
        <d v="2022-06-10T00:00:00"/>
        <d v="2022-05-10T00:00:00"/>
        <d v="2023-12-10T00:00:00"/>
        <d v="2023-02-10T00:00:00"/>
        <d v="2023-06-10T00:00:00"/>
        <d v="2022-01-10T00:00:00"/>
        <d v="2022-07-10T00:00:00"/>
        <d v="2021-12-10T00:00:00"/>
        <d v="2022-12-10T00:00:00"/>
        <d v="2021-10-10T00:00:00"/>
        <d v="2023-05-10T00:00:00"/>
        <d v="2022-04-10T00:00:00"/>
        <d v="2021-03-10T00:00:00"/>
        <d v="2021-02-10T00:00:00"/>
        <d v="2023-01-10T00:00:00"/>
        <d v="2023-04-10T00:00:00"/>
        <d v="2021-09-10T00:00:00"/>
        <d v="2021-06-10T00:00:00"/>
        <d v="2022-03-10T00:00:00"/>
        <d v="2024-04-10T00:00:00"/>
        <d v="2024-07-10T00:00:00"/>
        <d v="2024-05-10T00:00:00"/>
        <d v="2024-08-10T00:00:00"/>
        <d v="2024-01-10T00:00:00"/>
        <d v="2022-11-10T00:00:00"/>
        <d v="2021-11-10T00:00:00"/>
        <d v="2025-05-10T00:00:00"/>
        <d v="2025-10-10T00:00:00"/>
        <d v="2025-11-10T00:00:00"/>
        <d v="2024-12-10T00:00:00"/>
        <d v="2024-06-10T00:00:00"/>
        <d v="2024-10-10T00:00:00"/>
        <d v="2021-05-10T00:00:00"/>
        <d v="2021-01-10T00:00:00"/>
        <d v="2024-09-10T00:00:00"/>
        <d v="2024-02-10T00:00:00"/>
      </sharedItems>
      <fieldGroup par="10" base="1">
        <rangePr groupBy="months" startDate="2021-01-10T00:00:00" endDate="2025-11-11T00:00:00"/>
        <groupItems count="14">
          <s v="&lt;10/01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1/2025"/>
        </groupItems>
      </fieldGroup>
    </cacheField>
    <cacheField name="עיר" numFmtId="0">
      <sharedItems/>
    </cacheField>
    <cacheField name="רחוב" numFmtId="0">
      <sharedItems/>
    </cacheField>
    <cacheField name="הוצאה חודשית נלוות" numFmtId="165">
      <sharedItems containsSemiMixedTypes="0" containsString="0" containsNumber="1" containsInteger="1" minValue="-1755" maxValue="-507"/>
    </cacheField>
    <cacheField name="שם המנהל" numFmtId="0">
      <sharedItems/>
    </cacheField>
    <cacheField name="דמי ניהול" numFmtId="165">
      <sharedItems containsSemiMixedTypes="0" containsString="0" containsNumber="1" containsInteger="1" minValue="-497" maxValue="-200"/>
    </cacheField>
    <cacheField name="שם השוכר" numFmtId="0">
      <sharedItems/>
    </cacheField>
    <cacheField name="דמי שכירות" numFmtId="165">
      <sharedItems containsSemiMixedTypes="0" containsString="0" containsNumber="1" containsInteger="1" minValue="9059" maxValue="19793" count="91">
        <n v="10060"/>
        <n v="11526"/>
        <n v="16945"/>
        <n v="16546"/>
        <n v="13106"/>
        <n v="15002"/>
        <n v="11991"/>
        <n v="18898"/>
        <n v="15160"/>
        <n v="15346"/>
        <n v="10934"/>
        <n v="17232"/>
        <n v="13041"/>
        <n v="12810"/>
        <n v="19095"/>
        <n v="10273"/>
        <n v="15088"/>
        <n v="16021"/>
        <n v="17520"/>
        <n v="9308"/>
        <n v="13371"/>
        <n v="14989"/>
        <n v="13042"/>
        <n v="16655"/>
        <n v="10972"/>
        <n v="19191"/>
        <n v="9733"/>
        <n v="11128"/>
        <n v="19793"/>
        <n v="10224"/>
        <n v="19073"/>
        <n v="12749"/>
        <n v="12185"/>
        <n v="12511"/>
        <n v="18716"/>
        <n v="12513"/>
        <n v="16747"/>
        <n v="14816"/>
        <n v="9637"/>
        <n v="16942"/>
        <n v="18302"/>
        <n v="9341"/>
        <n v="12060"/>
        <n v="9865"/>
        <n v="19727"/>
        <n v="12392"/>
        <n v="17221"/>
        <n v="9059"/>
        <n v="14121"/>
        <n v="14562"/>
        <n v="10190"/>
        <n v="18448"/>
        <n v="12083"/>
        <n v="15159"/>
        <n v="13972"/>
        <n v="14757"/>
        <n v="14231"/>
        <n v="12418"/>
        <n v="14478"/>
        <n v="9101"/>
        <n v="14784"/>
        <n v="19256"/>
        <n v="18673"/>
        <n v="14479"/>
        <n v="15933"/>
        <n v="11792"/>
        <n v="14024"/>
        <n v="19042"/>
        <n v="16067"/>
        <n v="13007"/>
        <n v="16200"/>
        <n v="17523"/>
        <n v="13400"/>
        <n v="15385"/>
        <n v="16423"/>
        <n v="12079"/>
        <n v="9498"/>
        <n v="9840"/>
        <n v="18060"/>
        <n v="12237"/>
        <n v="13675"/>
        <n v="12129"/>
        <n v="14372"/>
        <n v="16731"/>
        <n v="15525"/>
        <n v="15622"/>
        <n v="9725"/>
        <n v="14290"/>
        <n v="11517"/>
        <n v="17409"/>
        <n v="13798"/>
      </sharedItems>
    </cacheField>
    <cacheField name="Quarters" numFmtId="0" databaseField="0">
      <fieldGroup base="1">
        <rangePr groupBy="quarters" startDate="2021-01-10T00:00:00" endDate="2025-11-11T00:00:00"/>
        <groupItems count="6">
          <s v="&lt;10/01/2021"/>
          <s v="Qtr1"/>
          <s v="Qtr2"/>
          <s v="Qtr3"/>
          <s v="Qtr4"/>
          <s v="&gt;11/11/2025"/>
        </groupItems>
      </fieldGroup>
    </cacheField>
    <cacheField name="Years" numFmtId="0" databaseField="0">
      <fieldGroup base="1">
        <rangePr groupBy="years" startDate="2021-01-10T00:00:00" endDate="2025-11-11T00:00:00"/>
        <groupItems count="7">
          <s v="&lt;10/01/2021"/>
          <s v="2021"/>
          <s v="2022"/>
          <s v="2023"/>
          <s v="2024"/>
          <s v="2025"/>
          <s v="&gt;11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-W10" refreshedDate="44358.545165162039" createdVersion="7" refreshedVersion="7" minRefreshableVersion="3" recordCount="91" xr:uid="{57A298E5-60AA-428F-A746-90876F8595DD}">
  <cacheSource type="worksheet">
    <worksheetSource name="Table6"/>
  </cacheSource>
  <cacheFields count="13">
    <cacheField name="תחילת תאריך שכירות" numFmtId="15">
      <sharedItems containsSemiMixedTypes="0" containsNonDate="0" containsDate="1" containsString="0" minDate="2016-01-10T00:00:00" maxDate="2020-12-11T00:00:00" count="47">
        <d v="2020-03-10T00:00:00"/>
        <d v="2017-10-10T00:00:00"/>
        <d v="2020-09-10T00:00:00"/>
        <d v="2018-10-10T00:00:00"/>
        <d v="2020-10-10T00:00:00"/>
        <d v="2017-06-10T00:00:00"/>
        <d v="2018-03-10T00:00:00"/>
        <d v="2017-01-10T00:00:00"/>
        <d v="2019-01-10T00:00:00"/>
        <d v="2016-03-10T00:00:00"/>
        <d v="2019-08-10T00:00:00"/>
        <d v="2017-11-10T00:00:00"/>
        <d v="2017-05-10T00:00:00"/>
        <d v="2018-05-10T00:00:00"/>
        <d v="2020-08-10T00:00:00"/>
        <d v="2018-07-10T00:00:00"/>
        <d v="2020-04-10T00:00:00"/>
        <d v="2020-11-10T00:00:00"/>
        <d v="2018-02-10T00:00:00"/>
        <d v="2016-07-10T00:00:00"/>
        <d v="2019-10-10T00:00:00"/>
        <d v="2017-09-10T00:00:00"/>
        <d v="2016-11-10T00:00:00"/>
        <d v="2018-08-10T00:00:00"/>
        <d v="2016-12-10T00:00:00"/>
        <d v="2019-05-10T00:00:00"/>
        <d v="2016-09-10T00:00:00"/>
        <d v="2016-10-10T00:00:00"/>
        <d v="2018-06-10T00:00:00"/>
        <d v="2016-08-10T00:00:00"/>
        <d v="2016-05-10T00:00:00"/>
        <d v="2020-12-10T00:00:00"/>
        <d v="2018-01-10T00:00:00"/>
        <d v="2017-04-10T00:00:00"/>
        <d v="2020-06-10T00:00:00"/>
        <d v="2016-01-10T00:00:00"/>
        <d v="2017-07-10T00:00:00"/>
        <d v="2019-07-10T00:00:00"/>
        <d v="2018-11-10T00:00:00"/>
        <d v="2016-02-10T00:00:00"/>
        <d v="2019-11-10T00:00:00"/>
        <d v="2020-05-10T00:00:00"/>
        <d v="2018-04-10T00:00:00"/>
        <d v="2017-02-10T00:00:00"/>
        <d v="2018-09-10T00:00:00"/>
        <d v="2016-06-10T00:00:00"/>
        <d v="2019-12-10T00:00:00"/>
      </sharedItems>
      <fieldGroup par="10" base="0">
        <rangePr groupBy="months" startDate="2016-01-10T00:00:00" endDate="2020-12-11T00:00:00"/>
        <groupItems count="14">
          <s v="&lt;10/01/201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2/2020"/>
        </groupItems>
      </fieldGroup>
    </cacheField>
    <cacheField name="סוף תאריך שכירות" numFmtId="15">
      <sharedItems containsSemiMixedTypes="0" containsNonDate="0" containsDate="1" containsString="0" minDate="2021-01-10T00:00:00" maxDate="2025-11-11T00:00:00" count="45">
        <d v="2023-07-10T00:00:00"/>
        <d v="2022-10-10T00:00:00"/>
        <d v="2022-09-10T00:00:00"/>
        <d v="2023-10-10T00:00:00"/>
        <d v="2022-08-10T00:00:00"/>
        <d v="2021-07-10T00:00:00"/>
        <d v="2021-08-10T00:00:00"/>
        <d v="2022-02-10T00:00:00"/>
        <d v="2023-08-10T00:00:00"/>
        <d v="2022-06-10T00:00:00"/>
        <d v="2022-05-10T00:00:00"/>
        <d v="2023-12-10T00:00:00"/>
        <d v="2023-02-10T00:00:00"/>
        <d v="2023-06-10T00:00:00"/>
        <d v="2022-01-10T00:00:00"/>
        <d v="2022-07-10T00:00:00"/>
        <d v="2021-12-10T00:00:00"/>
        <d v="2022-12-10T00:00:00"/>
        <d v="2021-10-10T00:00:00"/>
        <d v="2023-05-10T00:00:00"/>
        <d v="2022-04-10T00:00:00"/>
        <d v="2021-03-10T00:00:00"/>
        <d v="2021-02-10T00:00:00"/>
        <d v="2023-01-10T00:00:00"/>
        <d v="2023-04-10T00:00:00"/>
        <d v="2021-09-10T00:00:00"/>
        <d v="2021-06-10T00:00:00"/>
        <d v="2022-03-10T00:00:00"/>
        <d v="2024-04-10T00:00:00"/>
        <d v="2024-07-10T00:00:00"/>
        <d v="2024-05-10T00:00:00"/>
        <d v="2024-08-10T00:00:00"/>
        <d v="2024-01-10T00:00:00"/>
        <d v="2022-11-10T00:00:00"/>
        <d v="2021-11-10T00:00:00"/>
        <d v="2025-05-10T00:00:00"/>
        <d v="2025-10-10T00:00:00"/>
        <d v="2025-11-10T00:00:00"/>
        <d v="2024-12-10T00:00:00"/>
        <d v="2024-06-10T00:00:00"/>
        <d v="2024-10-10T00:00:00"/>
        <d v="2021-05-10T00:00:00"/>
        <d v="2021-01-10T00:00:00"/>
        <d v="2024-09-10T00:00:00"/>
        <d v="2024-02-10T00:00:00"/>
      </sharedItems>
      <fieldGroup par="12" base="1">
        <rangePr groupBy="months" startDate="2021-01-10T00:00:00" endDate="2025-11-11T00:00:00"/>
        <groupItems count="14">
          <s v="&lt;10/01/2021"/>
          <s v="ינו"/>
          <s v="פבר"/>
          <s v="מרץ"/>
          <s v="אפר"/>
          <s v="מאי"/>
          <s v="יונ"/>
          <s v="יול"/>
          <s v="אוג"/>
          <s v="ספט"/>
          <s v="אוק"/>
          <s v="נוב"/>
          <s v="דצמ"/>
          <s v="&gt;11/11/2025"/>
        </groupItems>
      </fieldGroup>
    </cacheField>
    <cacheField name="עיר" numFmtId="0">
      <sharedItems count="37">
        <s v="צפת"/>
        <s v="טבריה"/>
        <s v="יבנה"/>
        <s v="הרצליה"/>
        <s v="כפר סבא"/>
        <s v="רעננה"/>
        <s v="כרמיאל"/>
        <s v="נתניה"/>
        <s v="ירושלים"/>
        <s v="אשקלון"/>
        <s v="הוד השרון"/>
        <s v="פתח תקווה"/>
        <s v="חולון"/>
        <s v="קריית גת"/>
        <s v="קריות"/>
        <s v="תל אביב"/>
        <s v="חיפה"/>
        <s v="חדרה"/>
        <s v="פרדס חנה"/>
        <s v="חצור הגלילית"/>
        <s v="יוקנעם"/>
        <s v="רמת השרון"/>
        <s v="בני ברק"/>
        <s v="קיסריה"/>
        <s v="אילת"/>
        <s v="נתיבות"/>
        <s v="זכרון יעקב"/>
        <s v="גדרה"/>
        <s v="שדרות"/>
        <s v="ראש העין"/>
        <s v="דימונה"/>
        <s v="ערד"/>
        <s v="מצפה רמון"/>
        <s v="קצרין"/>
        <s v="עפולה"/>
        <s v="רמת גן"/>
        <s v="נהריה"/>
      </sharedItems>
    </cacheField>
    <cacheField name="רחוב" numFmtId="0">
      <sharedItems/>
    </cacheField>
    <cacheField name="הוצאה חודשית נלוות" numFmtId="165">
      <sharedItems containsSemiMixedTypes="0" containsString="0" containsNumber="1" containsInteger="1" minValue="-1755" maxValue="-507"/>
    </cacheField>
    <cacheField name="שם המנהל" numFmtId="0">
      <sharedItems/>
    </cacheField>
    <cacheField name="דמי ניהול" numFmtId="165">
      <sharedItems containsSemiMixedTypes="0" containsString="0" containsNumber="1" containsInteger="1" minValue="-497" maxValue="-200"/>
    </cacheField>
    <cacheField name="שם השוכר" numFmtId="0">
      <sharedItems/>
    </cacheField>
    <cacheField name="דמי שכירות" numFmtId="165">
      <sharedItems containsSemiMixedTypes="0" containsString="0" containsNumber="1" containsInteger="1" minValue="9059" maxValue="19793"/>
    </cacheField>
    <cacheField name="רבעונים" numFmtId="0" databaseField="0">
      <fieldGroup base="0">
        <rangePr groupBy="quarters" startDate="2016-01-10T00:00:00" endDate="2020-12-11T00:00:00"/>
        <groupItems count="6">
          <s v="&lt;10/01/2016"/>
          <s v="רבע1"/>
          <s v="רבע2"/>
          <s v="רבע3"/>
          <s v="רבע4"/>
          <s v="&gt;11/12/2020"/>
        </groupItems>
      </fieldGroup>
    </cacheField>
    <cacheField name="שנים" numFmtId="0" databaseField="0">
      <fieldGroup base="0">
        <rangePr groupBy="years" startDate="2016-01-10T00:00:00" endDate="2020-12-11T00:00:00"/>
        <groupItems count="7">
          <s v="&lt;10/01/2016"/>
          <s v="2016"/>
          <s v="2017"/>
          <s v="2018"/>
          <s v="2019"/>
          <s v="2020"/>
          <s v="&gt;11/12/2020"/>
        </groupItems>
      </fieldGroup>
    </cacheField>
    <cacheField name="רבעונים2" numFmtId="0" databaseField="0">
      <fieldGroup base="1">
        <rangePr groupBy="quarters" startDate="2021-01-10T00:00:00" endDate="2025-11-11T00:00:00"/>
        <groupItems count="6">
          <s v="&lt;10/01/2021"/>
          <s v="רבע1"/>
          <s v="רבע2"/>
          <s v="רבע3"/>
          <s v="רבע4"/>
          <s v="&gt;11/11/2025"/>
        </groupItems>
      </fieldGroup>
    </cacheField>
    <cacheField name="שנים2" numFmtId="0" databaseField="0">
      <fieldGroup base="1">
        <rangePr groupBy="years" startDate="2021-01-10T00:00:00" endDate="2025-11-11T00:00:00"/>
        <groupItems count="7">
          <s v="&lt;10/01/2021"/>
          <s v="2021"/>
          <s v="2022"/>
          <s v="2023"/>
          <s v="2024"/>
          <s v="2025"/>
          <s v="&gt;11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-W10" refreshedDate="44358.572085879627" createdVersion="7" refreshedVersion="7" minRefreshableVersion="3" recordCount="100" xr:uid="{F7BDE4EC-8228-47DC-B31F-E936266E1929}">
  <cacheSource type="worksheet">
    <worksheetSource name="Table28"/>
  </cacheSource>
  <cacheFields count="9">
    <cacheField name="מספר סידורי" numFmtId="0">
      <sharedItems containsSemiMixedTypes="0" containsString="0" containsNumber="1" containsInteger="1" minValue="1" maxValue="100"/>
    </cacheField>
    <cacheField name="מספר זיהוי" numFmtId="0">
      <sharedItems containsSemiMixedTypes="0" containsString="0" containsNumber="1" containsInteger="1" minValue="10380" maxValue="99465"/>
    </cacheField>
    <cacheField name="סוג הנכס" numFmtId="0">
      <sharedItems/>
    </cacheField>
    <cacheField name="תאריך רכישה" numFmtId="0">
      <sharedItems containsSemiMixedTypes="0" containsNonDate="0" containsDate="1" containsString="0" minDate="1960-08-23T00:00:00" maxDate="2020-11-12T00:00:00"/>
    </cacheField>
    <cacheField name="אזור" numFmtId="0">
      <sharedItems count="3">
        <s v="דרום"/>
        <s v="מרכז"/>
        <s v="צפון"/>
      </sharedItems>
    </cacheField>
    <cacheField name="עיר" numFmtId="0">
      <sharedItems count="38">
        <s v="אילת"/>
        <s v="אשקלון"/>
        <s v="בני ברק"/>
        <s v="גדרה"/>
        <s v="דימונה"/>
        <s v="הוד השרון"/>
        <s v="הרצליה"/>
        <s v="זכרון יעקב"/>
        <s v="חדרה"/>
        <s v="חולון"/>
        <s v="חיפה"/>
        <s v="חצור הגלילית"/>
        <s v="טבריה"/>
        <s v="יבנה"/>
        <s v="יוקנעם"/>
        <s v="ירושלים"/>
        <s v="כפר סבא"/>
        <s v="כרמיאל"/>
        <s v="מעלה אפרים"/>
        <s v="מצפה רמון"/>
        <s v="נהריה"/>
        <s v="נתיבות"/>
        <s v="נתניה"/>
        <s v="עפולה"/>
        <s v="ערד"/>
        <s v="פרדס חנה"/>
        <s v="פתח תקווה"/>
        <s v="צפת"/>
        <s v="קיסריה"/>
        <s v="קצרין"/>
        <s v="קריות"/>
        <s v="קריית גת"/>
        <s v="ראש העין"/>
        <s v="רמת גן"/>
        <s v="רמת השרון"/>
        <s v="רעננה"/>
        <s v="שדרות"/>
        <s v="תל אביב"/>
      </sharedItems>
    </cacheField>
    <cacheField name="רחוב" numFmtId="0">
      <sharedItems/>
    </cacheField>
    <cacheField name="הוצאה חודשית" numFmtId="165">
      <sharedItems containsSemiMixedTypes="0" containsString="0" containsNumber="1" containsInteger="1" minValue="-3486" maxValue="-2500"/>
    </cacheField>
    <cacheField name="שווי הנכס" numFmtId="165">
      <sharedItems containsSemiMixedTypes="0" containsString="0" containsNumber="1" containsInteger="1" minValue="1120546" maxValue="60469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-W10" refreshedDate="44358.593507986108" createdVersion="7" refreshedVersion="7" minRefreshableVersion="3" recordCount="91" xr:uid="{0D8F7F3B-0EDF-44AB-8CBD-A259DD391CE8}">
  <cacheSource type="worksheet">
    <worksheetSource name="Table4"/>
  </cacheSource>
  <cacheFields count="9">
    <cacheField name="מספר סידורי" numFmtId="0">
      <sharedItems containsSemiMixedTypes="0" containsString="0" containsNumber="1" containsInteger="1" minValue="1" maxValue="91"/>
    </cacheField>
    <cacheField name="מספר חוזה" numFmtId="0">
      <sharedItems containsSemiMixedTypes="0" containsString="0" containsNumber="1" containsInteger="1" minValue="10023" maxValue="98781"/>
    </cacheField>
    <cacheField name="עיר הנכס" numFmtId="0">
      <sharedItems/>
    </cacheField>
    <cacheField name="רחוב הנכס" numFmtId="0">
      <sharedItems/>
    </cacheField>
    <cacheField name="שם המנהל" numFmtId="0">
      <sharedItems count="51">
        <s v="אלעד אריה"/>
        <s v="עמיחי טאוב"/>
        <s v="מלכיאל חזן"/>
        <s v="דוד תורג'מן"/>
        <s v="סעדיה נבון"/>
        <s v="יהושוע שפירא"/>
        <s v="עמית כהן"/>
        <s v="יוסי ויצמן"/>
        <s v="אביב כוכבי"/>
        <s v="ורדה כהן"/>
        <s v="יוסי עמרמי"/>
        <s v="שמואל שרייבר"/>
        <s v="קובי בן - עזרא"/>
        <s v="אברהם ימיני"/>
        <s v="משה שרביט"/>
        <s v="חיים לבייב"/>
        <s v="אריאל חסטר"/>
        <s v="דוד יהלומי"/>
        <s v="שושנה פנט"/>
        <s v="אלישע יעקבי"/>
        <s v="יפית חכמוני"/>
        <s v="שמחה אטיאס"/>
        <s v="יונית סרוסי"/>
        <s v="אחיטוב גדליה"/>
        <s v="נעמה קופיצקי"/>
        <s v="אהובה תנעמי"/>
        <s v="דנה לוי"/>
        <s v="דוד סיבוני"/>
        <s v="אחינועם ספאני"/>
        <s v="אביתר משעלי"/>
        <s v="ניר טבורי"/>
        <s v="יוחנן אטון"/>
        <s v="נתי שרגא"/>
        <s v="רבקה דמרי"/>
        <s v="נתמאל דמלין"/>
        <s v="אלישמע ויסמן"/>
        <s v="נתנאל סבג"/>
        <s v="אביבה כהן"/>
        <s v="בניה ביתן"/>
        <s v="נריה אבידן"/>
        <s v="יוסף בר ששת"/>
        <s v="יוסי דוידוב"/>
        <s v="זקרי ויצמן"/>
        <s v="מאיר קנטן"/>
        <s v="שמרית קוממי"/>
        <s v="צוריאל חריר"/>
        <s v="עמית ששון"/>
        <s v="זמרי וולקן"/>
        <s v="בני וולקן"/>
        <s v="הראל יחיאל"/>
        <s v="שלומי בן חיים"/>
      </sharedItems>
    </cacheField>
    <cacheField name="שם השוכר" numFmtId="0">
      <sharedItems/>
    </cacheField>
    <cacheField name="תחילת תאריך שכירות" numFmtId="15">
      <sharedItems containsSemiMixedTypes="0" containsNonDate="0" containsDate="1" containsString="0" minDate="2016-01-10T00:00:00" maxDate="2020-12-11T00:00:00"/>
    </cacheField>
    <cacheField name="סוף תאריך שכירות" numFmtId="15">
      <sharedItems containsSemiMixedTypes="0" containsNonDate="0" containsDate="1" containsString="0" minDate="2021-01-10T00:00:00" maxDate="2022-12-11T00:00:00"/>
    </cacheField>
    <cacheField name="דמי שכירות" numFmtId="167">
      <sharedItems containsSemiMixedTypes="0" containsString="0" containsNumber="1" containsInteger="1" minValue="9059" maxValue="197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d v="2020-03-10T00:00:00"/>
    <x v="0"/>
    <s v="צפת"/>
    <s v="בנימין 14"/>
    <n v="-1355"/>
    <s v="אלעד אריה"/>
    <n v="-206"/>
    <s v="עמיאל סרי"/>
    <x v="0"/>
  </r>
  <r>
    <d v="2017-10-10T00:00:00"/>
    <x v="1"/>
    <s v="טבריה"/>
    <s v="יא הספורטאים 59"/>
    <n v="-720"/>
    <s v="עמיחי טאוב"/>
    <n v="-318"/>
    <s v="נריה כהן"/>
    <x v="1"/>
  </r>
  <r>
    <d v="2020-09-10T00:00:00"/>
    <x v="2"/>
    <s v="יבנה"/>
    <s v="גינת השועלים 39"/>
    <n v="-554"/>
    <s v="מלכיאל חזן"/>
    <n v="-240"/>
    <s v="מאור לסקר"/>
    <x v="2"/>
  </r>
  <r>
    <d v="2018-10-10T00:00:00"/>
    <x v="3"/>
    <s v="הרצליה"/>
    <s v="רחל המשוררת 13"/>
    <n v="-700"/>
    <s v="אלעד אריה"/>
    <n v="-206"/>
    <s v="איילה זייד"/>
    <x v="3"/>
  </r>
  <r>
    <d v="2020-10-10T00:00:00"/>
    <x v="4"/>
    <s v="הרצליה"/>
    <s v="רחל המשוררת 14"/>
    <n v="-758"/>
    <s v="דוד תורג'מן"/>
    <n v="-240"/>
    <s v="עידו נברו"/>
    <x v="4"/>
  </r>
  <r>
    <d v="2017-06-10T00:00:00"/>
    <x v="5"/>
    <s v="הרצליה"/>
    <s v="רחל המשוררת 15"/>
    <n v="-1367"/>
    <s v="סעדיה נבון"/>
    <n v="-359"/>
    <s v="גיל פרידמן"/>
    <x v="5"/>
  </r>
  <r>
    <d v="2018-03-10T00:00:00"/>
    <x v="6"/>
    <s v="כפר סבא"/>
    <s v="ויצמן 124"/>
    <n v="-922"/>
    <s v="יהושוע שפירא"/>
    <n v="-377"/>
    <s v="דניאלה גרוס"/>
    <x v="6"/>
  </r>
  <r>
    <d v="2017-01-10T00:00:00"/>
    <x v="7"/>
    <s v="כפר סבא"/>
    <s v="ויצמן 125"/>
    <n v="-695"/>
    <s v="סעדיה נבון"/>
    <n v="-359"/>
    <s v="נעמה קומאן"/>
    <x v="7"/>
  </r>
  <r>
    <d v="2019-01-10T00:00:00"/>
    <x v="8"/>
    <s v="כפר סבא"/>
    <s v="ויצמן 126"/>
    <n v="-563"/>
    <s v="יהושוע שפירא"/>
    <n v="-377"/>
    <s v="רחל איפרגן"/>
    <x v="8"/>
  </r>
  <r>
    <d v="2016-03-10T00:00:00"/>
    <x v="9"/>
    <s v="כפר סבא"/>
    <s v="ויצמן 127"/>
    <n v="-665"/>
    <s v="יהושוע שפירא"/>
    <n v="-377"/>
    <s v="שירה צבעוני"/>
    <x v="9"/>
  </r>
  <r>
    <d v="2019-08-10T00:00:00"/>
    <x v="0"/>
    <s v="כפר סבא"/>
    <s v="ויצמן 128"/>
    <n v="-507"/>
    <s v="עמית כהן"/>
    <n v="-348"/>
    <s v="נופר לוי"/>
    <x v="10"/>
  </r>
  <r>
    <d v="2017-11-10T00:00:00"/>
    <x v="10"/>
    <s v="רעננה"/>
    <s v="חצר המלכה 33"/>
    <n v="-561"/>
    <s v="יוסי ויצמן"/>
    <n v="-356"/>
    <s v="ניתן אהרון"/>
    <x v="11"/>
  </r>
  <r>
    <d v="2017-05-10T00:00:00"/>
    <x v="11"/>
    <s v="כרמיאל"/>
    <s v="שמחה 88"/>
    <n v="-1575"/>
    <s v="אביב כוכבי"/>
    <n v="-378"/>
    <s v="נריה הדר"/>
    <x v="12"/>
  </r>
  <r>
    <d v="2018-05-10T00:00:00"/>
    <x v="12"/>
    <s v="נתניה"/>
    <s v="הבנים 78"/>
    <n v="-657"/>
    <s v="ורדה כהן"/>
    <n v="-441"/>
    <s v="יאיר שיפר"/>
    <x v="13"/>
  </r>
  <r>
    <d v="2020-08-10T00:00:00"/>
    <x v="13"/>
    <s v="ירושלים"/>
    <s v="הרב קוק 7"/>
    <n v="-1098"/>
    <s v="ורדה כהן"/>
    <n v="-441"/>
    <s v="בנימין דמרי"/>
    <x v="14"/>
  </r>
  <r>
    <d v="2018-07-10T00:00:00"/>
    <x v="14"/>
    <s v="אשקלון"/>
    <s v="חזון איש 12"/>
    <n v="-587"/>
    <s v="יוסי עמרמי"/>
    <n v="-477"/>
    <s v="הלל רטיג"/>
    <x v="15"/>
  </r>
  <r>
    <d v="2020-04-10T00:00:00"/>
    <x v="15"/>
    <s v="הוד השרון"/>
    <s v="תל חי 45"/>
    <n v="-1704"/>
    <s v="יוסי עמרמי"/>
    <n v="-477"/>
    <s v="אביטל מדמון"/>
    <x v="16"/>
  </r>
  <r>
    <d v="2019-08-10T00:00:00"/>
    <x v="10"/>
    <s v="הוד השרון"/>
    <s v="תל חי 46"/>
    <n v="-1370"/>
    <s v="יוסי עמרמי"/>
    <n v="-477"/>
    <s v="בנימין אהרון"/>
    <x v="17"/>
  </r>
  <r>
    <d v="2020-11-10T00:00:00"/>
    <x v="16"/>
    <s v="פתח תקווה"/>
    <s v="חשב סופר 26"/>
    <n v="-604"/>
    <s v="שמואל שרייבר"/>
    <n v="-290"/>
    <s v="יוסי סרי"/>
    <x v="18"/>
  </r>
  <r>
    <d v="2018-02-10T00:00:00"/>
    <x v="4"/>
    <s v="פתח תקווה"/>
    <s v="חשב סופר 27"/>
    <n v="-1016"/>
    <s v="קובי בן - עזרא"/>
    <n v="-454"/>
    <s v="יהודית שלר"/>
    <x v="19"/>
  </r>
  <r>
    <d v="2017-01-10T00:00:00"/>
    <x v="17"/>
    <s v="רעננה"/>
    <s v="שלמה המלך 73"/>
    <n v="-590"/>
    <s v="אברהם ימיני"/>
    <n v="-211"/>
    <s v="נועה כהן"/>
    <x v="20"/>
  </r>
  <r>
    <d v="2018-10-10T00:00:00"/>
    <x v="18"/>
    <s v="חולון"/>
    <s v="שומשום 98"/>
    <n v="-508"/>
    <s v="משה שרביט"/>
    <n v="-284"/>
    <s v="רפאל אלמגור"/>
    <x v="21"/>
  </r>
  <r>
    <d v="2018-02-10T00:00:00"/>
    <x v="19"/>
    <s v="קריית גת"/>
    <s v="העליה 74"/>
    <n v="-1182"/>
    <s v="חיים לבייב"/>
    <n v="-308"/>
    <s v="רבקה שביט"/>
    <x v="22"/>
  </r>
  <r>
    <d v="2018-05-10T00:00:00"/>
    <x v="20"/>
    <s v="קריות"/>
    <s v="גרינזברג 37"/>
    <n v="-794"/>
    <s v="חיים לבייב"/>
    <n v="-308"/>
    <s v="בני ברט"/>
    <x v="23"/>
  </r>
  <r>
    <d v="2016-07-10T00:00:00"/>
    <x v="21"/>
    <s v="ירושלים"/>
    <s v="שדרות הנשיא 19"/>
    <n v="-1339"/>
    <s v="אריאל חסטר"/>
    <n v="-390"/>
    <s v="שמעון גוברין"/>
    <x v="24"/>
  </r>
  <r>
    <d v="2020-04-10T00:00:00"/>
    <x v="22"/>
    <s v="ירושלים"/>
    <s v="שדרות הנשיא 20"/>
    <n v="-1407"/>
    <s v="דוד יהלומי"/>
    <n v="-246"/>
    <s v="יואב הרוש"/>
    <x v="25"/>
  </r>
  <r>
    <d v="2019-10-10T00:00:00"/>
    <x v="23"/>
    <s v="ירושלים"/>
    <s v="שדרות הנשיא 21"/>
    <n v="-1637"/>
    <s v="דוד יהלומי"/>
    <n v="-246"/>
    <s v="דנה עודי"/>
    <x v="26"/>
  </r>
  <r>
    <d v="2016-07-10T00:00:00"/>
    <x v="2"/>
    <s v="ירושלים"/>
    <s v="שדרות הנשיא 22"/>
    <n v="-558"/>
    <s v="שושנה פנט"/>
    <n v="-236"/>
    <s v="לאה שלום"/>
    <x v="27"/>
  </r>
  <r>
    <d v="2017-09-10T00:00:00"/>
    <x v="0"/>
    <s v="ירושלים"/>
    <s v="שדרות הנשיא 23"/>
    <n v="-1190"/>
    <s v="דוד יהלומי"/>
    <n v="-246"/>
    <s v="יהונותן נאמן"/>
    <x v="28"/>
  </r>
  <r>
    <d v="2018-10-10T00:00:00"/>
    <x v="24"/>
    <s v="ירושלים"/>
    <s v="שדרות הנשיא 24"/>
    <n v="-619"/>
    <s v="שושנה פנט"/>
    <n v="-236"/>
    <s v="רבקה גיאת"/>
    <x v="29"/>
  </r>
  <r>
    <d v="2016-07-10T00:00:00"/>
    <x v="5"/>
    <s v="ירושלים"/>
    <s v="שדרות הנשיא 25"/>
    <n v="-1432"/>
    <s v="דוד יהלומי"/>
    <n v="-246"/>
    <s v="יפעת גורמן"/>
    <x v="30"/>
  </r>
  <r>
    <d v="2020-03-10T00:00:00"/>
    <x v="25"/>
    <s v="ירושלים"/>
    <s v="שדרות הנשיא 26"/>
    <n v="-1097"/>
    <s v="שושנה פנט"/>
    <n v="-236"/>
    <s v="רועי פוקס"/>
    <x v="31"/>
  </r>
  <r>
    <d v="2020-10-10T00:00:00"/>
    <x v="12"/>
    <s v="ירושלים"/>
    <s v="שדרות הנשיא 27"/>
    <n v="-1755"/>
    <s v="שושנה פנט"/>
    <n v="-236"/>
    <s v="שאול שער"/>
    <x v="32"/>
  </r>
  <r>
    <d v="2019-10-10T00:00:00"/>
    <x v="18"/>
    <s v="תל אביב"/>
    <s v="שנקין 28"/>
    <n v="-1355"/>
    <s v="אלישע יעקבי"/>
    <n v="-219"/>
    <s v="חן סרי"/>
    <x v="33"/>
  </r>
  <r>
    <d v="2017-11-10T00:00:00"/>
    <x v="20"/>
    <s v="תל אביב"/>
    <s v="שנקין 29"/>
    <n v="-1452"/>
    <s v="יפית חכמוני"/>
    <n v="-348"/>
    <s v="נוגה לסקר"/>
    <x v="34"/>
  </r>
  <r>
    <d v="2016-11-10T00:00:00"/>
    <x v="14"/>
    <s v="צפת"/>
    <s v="מתיתיהו 69"/>
    <n v="-1753"/>
    <s v="שמחה אטיאס"/>
    <n v="-301"/>
    <s v="משה כהן"/>
    <x v="35"/>
  </r>
  <r>
    <d v="2018-08-10T00:00:00"/>
    <x v="26"/>
    <s v="חיפה"/>
    <s v="רמב&quot;ם 2"/>
    <n v="-1517"/>
    <s v="שמחה אטיאס"/>
    <n v="-301"/>
    <s v="אביחי קואן"/>
    <x v="36"/>
  </r>
  <r>
    <d v="2016-12-10T00:00:00"/>
    <x v="27"/>
    <s v="חיפה"/>
    <s v="רמב&quot;ם 3"/>
    <n v="-1123"/>
    <s v="יונית סרוסי"/>
    <n v="-231"/>
    <s v="יהודה גראוס"/>
    <x v="37"/>
  </r>
  <r>
    <d v="2019-05-10T00:00:00"/>
    <x v="28"/>
    <s v="כפר סבא"/>
    <s v="דוד המלך 51"/>
    <n v="-1237"/>
    <s v="אחיטוב גדליה"/>
    <n v="-245"/>
    <s v="יואל אהרונוביץ"/>
    <x v="38"/>
  </r>
  <r>
    <d v="2020-03-10T00:00:00"/>
    <x v="29"/>
    <s v="חדרה"/>
    <s v="פיטרקובסקי 73"/>
    <n v="-669"/>
    <s v="נעמה קופיצקי"/>
    <n v="-331"/>
    <s v="בני מסמי"/>
    <x v="39"/>
  </r>
  <r>
    <d v="2017-10-10T00:00:00"/>
    <x v="5"/>
    <s v="פרדס חנה"/>
    <s v="וניצ'י 56"/>
    <n v="-1362"/>
    <s v="אהובה תנעמי"/>
    <n v="-422"/>
    <s v="נתאי הלל"/>
    <x v="40"/>
  </r>
  <r>
    <d v="2016-09-10T00:00:00"/>
    <x v="7"/>
    <s v="חצור הגלילית"/>
    <s v="נווה החרש 82"/>
    <n v="-771"/>
    <s v="אהובה תנעמי"/>
    <n v="-422"/>
    <s v="יעל אלמוגי"/>
    <x v="41"/>
  </r>
  <r>
    <d v="2018-07-10T00:00:00"/>
    <x v="30"/>
    <s v="יוקנעם"/>
    <s v="גלילאו 50"/>
    <n v="-733"/>
    <s v="שמחה אטיאס"/>
    <n v="-301"/>
    <s v="חיים נתניהו"/>
    <x v="42"/>
  </r>
  <r>
    <d v="2016-10-10T00:00:00"/>
    <x v="31"/>
    <s v="טבריה"/>
    <s v="שמואל הנביא 70"/>
    <n v="-1466"/>
    <s v="שמחה אטיאס"/>
    <n v="-301"/>
    <s v="הדר אלמגור"/>
    <x v="43"/>
  </r>
  <r>
    <d v="2017-09-10T00:00:00"/>
    <x v="32"/>
    <s v="טבריה"/>
    <s v="שמואל הנביא 71"/>
    <n v="-1560"/>
    <s v="שמחה אטיאס"/>
    <n v="-301"/>
    <s v="נגה לוי"/>
    <x v="44"/>
  </r>
  <r>
    <d v="2017-06-10T00:00:00"/>
    <x v="16"/>
    <s v="טבריה"/>
    <s v="שמואל הנביא 72"/>
    <n v="-769"/>
    <s v="דנה לוי"/>
    <n v="-215"/>
    <s v="הדר ימיני"/>
    <x v="45"/>
  </r>
  <r>
    <d v="2018-06-10T00:00:00"/>
    <x v="15"/>
    <s v="טבריה"/>
    <s v="שמואל הנביא 73"/>
    <n v="-906"/>
    <s v="דנה לוי"/>
    <n v="-215"/>
    <s v="אריאל אביב"/>
    <x v="46"/>
  </r>
  <r>
    <d v="2016-08-10T00:00:00"/>
    <x v="9"/>
    <s v="טבריה"/>
    <s v="שמואל הנביא 74"/>
    <n v="-1695"/>
    <s v="דנה לוי"/>
    <n v="-215"/>
    <s v="דניאלה טסה"/>
    <x v="47"/>
  </r>
  <r>
    <d v="2017-06-10T00:00:00"/>
    <x v="33"/>
    <s v="טבריה"/>
    <s v="שמואל הנביא 75"/>
    <n v="-1200"/>
    <s v="דנה לוי"/>
    <n v="-215"/>
    <s v="יאיר שלישמן"/>
    <x v="48"/>
  </r>
  <r>
    <d v="2016-05-10T00:00:00"/>
    <x v="34"/>
    <s v="טבריה"/>
    <s v="יעלה 78"/>
    <n v="-1086"/>
    <s v="דנה לוי"/>
    <n v="-215"/>
    <s v="שרה וולפסון"/>
    <x v="49"/>
  </r>
  <r>
    <d v="2016-05-10T00:00:00"/>
    <x v="5"/>
    <s v="רמת השרון"/>
    <s v="שמשון 22"/>
    <n v="-663"/>
    <s v="דנה לוי"/>
    <n v="-215"/>
    <s v="דוד נחמני"/>
    <x v="50"/>
  </r>
  <r>
    <d v="2018-08-10T00:00:00"/>
    <x v="6"/>
    <s v="רמת השרון"/>
    <s v="השח&quot;ל 1"/>
    <n v="-951"/>
    <s v="דוד סיבוני"/>
    <n v="-459"/>
    <s v="אבישי אליאב"/>
    <x v="51"/>
  </r>
  <r>
    <d v="2020-12-10T00:00:00"/>
    <x v="1"/>
    <s v="בני ברק"/>
    <s v="השח&quot;ל 2"/>
    <n v="-1045"/>
    <s v="אחינועם ספאני"/>
    <n v="-497"/>
    <s v="עודד אמיר"/>
    <x v="52"/>
  </r>
  <r>
    <d v="2016-05-10T00:00:00"/>
    <x v="27"/>
    <s v="קיסריה"/>
    <s v="יונה הנביא 8"/>
    <n v="-968"/>
    <s v="אביתר משעלי"/>
    <n v="-341"/>
    <s v="רוני אביבי"/>
    <x v="53"/>
  </r>
  <r>
    <d v="2018-01-10T00:00:00"/>
    <x v="9"/>
    <s v="אילת"/>
    <s v="אלישע 10"/>
    <n v="-1073"/>
    <s v="אביתר משעלי"/>
    <n v="-341"/>
    <s v="שיר תמיר"/>
    <x v="54"/>
  </r>
  <r>
    <d v="2016-09-10T00:00:00"/>
    <x v="16"/>
    <s v="נתיבות"/>
    <s v="מבצע יהונתן 39"/>
    <n v="-948"/>
    <s v="ניר טבורי"/>
    <n v="-438"/>
    <s v="ספיר גנץ"/>
    <x v="55"/>
  </r>
  <r>
    <d v="2017-04-10T00:00:00"/>
    <x v="5"/>
    <s v="זכרון יעקב"/>
    <s v="יששכר 18"/>
    <n v="-1382"/>
    <s v="ניר טבורי"/>
    <n v="-438"/>
    <s v="אוריה  מורד"/>
    <x v="56"/>
  </r>
  <r>
    <d v="2019-08-10T00:00:00"/>
    <x v="35"/>
    <s v="גדרה"/>
    <s v="רבי עובדיה 21"/>
    <n v="-1626"/>
    <s v="יוחנן אטון"/>
    <n v="-388"/>
    <s v="אביב כהן"/>
    <x v="57"/>
  </r>
  <r>
    <d v="2020-06-10T00:00:00"/>
    <x v="26"/>
    <s v="בני ברק"/>
    <s v="המכבים 88"/>
    <n v="-1683"/>
    <s v="נתי שרגא"/>
    <n v="-200"/>
    <s v="עופר ברלב"/>
    <x v="58"/>
  </r>
  <r>
    <d v="2016-05-10T00:00:00"/>
    <x v="35"/>
    <s v="אילת"/>
    <s v="תל - חי 63"/>
    <n v="-893"/>
    <s v="רבקה דמרי"/>
    <n v="-204"/>
    <s v="חן אברהם"/>
    <x v="59"/>
  </r>
  <r>
    <d v="2016-01-10T00:00:00"/>
    <x v="17"/>
    <s v="שדרות"/>
    <s v="הכרמל 17"/>
    <n v="-1733"/>
    <s v="נתמאל דמלין"/>
    <n v="-445"/>
    <s v="מלאכי גורן"/>
    <x v="60"/>
  </r>
  <r>
    <d v="2017-07-10T00:00:00"/>
    <x v="36"/>
    <s v="נתיבות"/>
    <s v="ניל&quot;י 29"/>
    <n v="-1645"/>
    <s v="נתמאל דמלין"/>
    <n v="-445"/>
    <s v="אריאל רבינוביץ"/>
    <x v="61"/>
  </r>
  <r>
    <d v="2016-08-10T00:00:00"/>
    <x v="18"/>
    <s v="קיסריה"/>
    <s v="בן - גוריון 84"/>
    <n v="-1009"/>
    <s v="נתמאל דמלין"/>
    <n v="-445"/>
    <s v="עידו לוי"/>
    <x v="62"/>
  </r>
  <r>
    <d v="2018-08-10T00:00:00"/>
    <x v="34"/>
    <s v="קיסריה"/>
    <s v="שושנה 5"/>
    <n v="-1511"/>
    <s v="אלישמע ויסמן"/>
    <n v="-436"/>
    <s v="גלעד רביד"/>
    <x v="63"/>
  </r>
  <r>
    <d v="2020-08-10T00:00:00"/>
    <x v="37"/>
    <s v="אילת"/>
    <s v="טרומפלדור 6"/>
    <n v="-1091"/>
    <s v="נתנאל סבג"/>
    <n v="-222"/>
    <s v="גל  שמעון"/>
    <x v="64"/>
  </r>
  <r>
    <d v="2019-08-10T00:00:00"/>
    <x v="38"/>
    <s v="רמת השרון"/>
    <s v="מסילת ישרים 8"/>
    <n v="-1559"/>
    <s v="אביבה כהן"/>
    <n v="-268"/>
    <s v="נעה קולמן"/>
    <x v="65"/>
  </r>
  <r>
    <d v="2016-05-10T00:00:00"/>
    <x v="39"/>
    <s v="גדרה"/>
    <s v="עוזי נרקיס 111"/>
    <n v="-743"/>
    <s v="אביבה כהן"/>
    <n v="-268"/>
    <s v="נדב משה"/>
    <x v="66"/>
  </r>
  <r>
    <d v="2017-09-10T00:00:00"/>
    <x v="4"/>
    <s v="ראש העין"/>
    <s v="רב צעיר 4"/>
    <n v="-730"/>
    <s v="בניה ביתן"/>
    <n v="-267"/>
    <s v="יונתן גולדברג"/>
    <x v="67"/>
  </r>
  <r>
    <d v="2017-07-10T00:00:00"/>
    <x v="21"/>
    <s v="דימונה"/>
    <s v="מסילת ישרים 9"/>
    <n v="-1392"/>
    <s v="נריה אבידן"/>
    <n v="-425"/>
    <s v="אביבה שרעבי"/>
    <x v="68"/>
  </r>
  <r>
    <d v="2019-07-10T00:00:00"/>
    <x v="40"/>
    <s v="שדרות"/>
    <s v="טרומפלדור 5"/>
    <n v="-1364"/>
    <s v="יוסף בר ששת"/>
    <n v="-494"/>
    <s v="פנינה חן"/>
    <x v="69"/>
  </r>
  <r>
    <d v="2018-11-10T00:00:00"/>
    <x v="17"/>
    <s v="בני ברק"/>
    <s v="הצבי 6"/>
    <n v="-1546"/>
    <s v="יוסי דוידוב"/>
    <n v="-259"/>
    <s v="אביה דוד"/>
    <x v="70"/>
  </r>
  <r>
    <d v="2017-06-10T00:00:00"/>
    <x v="9"/>
    <s v="אילת"/>
    <s v="נטף 5"/>
    <n v="-723"/>
    <s v="יוסף בר ששת"/>
    <n v="-494"/>
    <s v="אביתר לסרי"/>
    <x v="71"/>
  </r>
  <r>
    <d v="2019-01-10T00:00:00"/>
    <x v="41"/>
    <s v="ראש העין"/>
    <s v="החלוצים 48"/>
    <n v="-644"/>
    <s v="יוסי דוידוב"/>
    <n v="-259"/>
    <s v="ורדית ולדשטיין"/>
    <x v="72"/>
  </r>
  <r>
    <d v="2016-01-10T00:00:00"/>
    <x v="6"/>
    <s v="בני ברק"/>
    <s v="רחל המשוררת 91"/>
    <n v="-1227"/>
    <s v="זקרי ויצמן"/>
    <n v="-266"/>
    <s v="נפתלי גליקמן"/>
    <x v="73"/>
  </r>
  <r>
    <d v="2019-07-10T00:00:00"/>
    <x v="4"/>
    <s v="ערד"/>
    <s v="יד לבנים 73"/>
    <n v="-1606"/>
    <s v="מאיר קנטן"/>
    <n v="-239"/>
    <s v="נאור חדד"/>
    <x v="74"/>
  </r>
  <r>
    <d v="2016-02-10T00:00:00"/>
    <x v="42"/>
    <s v="מצפה רמון"/>
    <s v="פיטרקובסקי 20"/>
    <n v="-1281"/>
    <s v="שמרית קוממי"/>
    <n v="-341"/>
    <s v="אליה קינסבורסקי"/>
    <x v="75"/>
  </r>
  <r>
    <d v="2019-11-10T00:00:00"/>
    <x v="21"/>
    <s v="קצרין"/>
    <s v="הרב קוק 33"/>
    <n v="-676"/>
    <s v="צוריאל חריר"/>
    <n v="-418"/>
    <s v="שני שוורץ"/>
    <x v="76"/>
  </r>
  <r>
    <d v="2020-05-10T00:00:00"/>
    <x v="27"/>
    <s v="עפולה"/>
    <s v="רמב&quot;ם 13"/>
    <n v="-806"/>
    <s v="עמית ששון"/>
    <n v="-402"/>
    <s v="טל קורנפלד"/>
    <x v="77"/>
  </r>
  <r>
    <d v="2018-04-10T00:00:00"/>
    <x v="5"/>
    <s v="קיסריה"/>
    <s v="שלושת הבנים 51"/>
    <n v="-1152"/>
    <s v="עמית ששון"/>
    <n v="-402"/>
    <s v="תומר בן הרוש"/>
    <x v="78"/>
  </r>
  <r>
    <d v="2019-10-10T00:00:00"/>
    <x v="18"/>
    <s v="נתיבות"/>
    <s v="רבי עקיבא 17"/>
    <n v="-1588"/>
    <s v="מאיר קנטן"/>
    <n v="-239"/>
    <s v="אביטל לוי"/>
    <x v="79"/>
  </r>
  <r>
    <d v="2016-02-10T00:00:00"/>
    <x v="2"/>
    <s v="ראש העין"/>
    <s v="אנה פרנק 9"/>
    <n v="-1223"/>
    <s v="מאיר קנטן"/>
    <n v="-239"/>
    <s v="עמיחי צור"/>
    <x v="80"/>
  </r>
  <r>
    <d v="2018-10-10T00:00:00"/>
    <x v="2"/>
    <s v="רמת גן"/>
    <s v="רש&quot;י 2"/>
    <n v="-1388"/>
    <s v="זמרי וולקן"/>
    <n v="-363"/>
    <s v="אחיה ממן"/>
    <x v="81"/>
  </r>
  <r>
    <d v="2017-02-10T00:00:00"/>
    <x v="5"/>
    <s v="רמת השרון"/>
    <s v="רוטשילד 11"/>
    <n v="-1538"/>
    <s v="זמרי וולקן"/>
    <n v="-363"/>
    <s v="נטע רקח"/>
    <x v="82"/>
  </r>
  <r>
    <d v="2018-09-10T00:00:00"/>
    <x v="17"/>
    <s v="נהריה"/>
    <s v="טשרניחובסקי 50"/>
    <n v="-1473"/>
    <s v="זמרי וולקן"/>
    <n v="-363"/>
    <s v="עודד ברנוביץ"/>
    <x v="83"/>
  </r>
  <r>
    <d v="2019-10-10T00:00:00"/>
    <x v="18"/>
    <s v="רמת גן"/>
    <s v="שמעון 24"/>
    <n v="-1233"/>
    <s v="זמרי וולקן"/>
    <n v="-363"/>
    <s v="איילת מייסון"/>
    <x v="84"/>
  </r>
  <r>
    <d v="2018-08-10T00:00:00"/>
    <x v="26"/>
    <s v="עפולה"/>
    <s v="מח&quot;ל 6"/>
    <n v="-1731"/>
    <s v="בני וולקן"/>
    <n v="-487"/>
    <s v="נעמי ברהנולץ"/>
    <x v="85"/>
  </r>
  <r>
    <d v="2016-06-10T00:00:00"/>
    <x v="43"/>
    <s v="בני ברק"/>
    <s v="הגורן 3"/>
    <n v="-1077"/>
    <s v="בני וולקן"/>
    <n v="-487"/>
    <s v="הדר ספיר"/>
    <x v="86"/>
  </r>
  <r>
    <d v="2019-12-10T00:00:00"/>
    <x v="44"/>
    <s v="זכרון יעקב"/>
    <s v="יצחק שמיר 26"/>
    <n v="-519"/>
    <s v="הראל יחיאל"/>
    <n v="-307"/>
    <s v="שושי נגר"/>
    <x v="87"/>
  </r>
  <r>
    <d v="2016-06-10T00:00:00"/>
    <x v="44"/>
    <s v="נתיבות"/>
    <s v="בן עזאי 1"/>
    <n v="-1050"/>
    <s v="הראל יחיאל"/>
    <n v="-307"/>
    <s v="אירית מועלמי"/>
    <x v="88"/>
  </r>
  <r>
    <d v="2016-05-10T00:00:00"/>
    <x v="28"/>
    <s v="נהריה"/>
    <s v="מאיר אריאל 66"/>
    <n v="-1203"/>
    <s v="שלומי בן חיים"/>
    <n v="-202"/>
    <s v="אליסף פכלר"/>
    <x v="89"/>
  </r>
  <r>
    <d v="2017-07-10T00:00:00"/>
    <x v="32"/>
    <s v="עפולה"/>
    <s v="ראובן 49"/>
    <n v="-979"/>
    <s v="שלומי בן חיים"/>
    <n v="-202"/>
    <s v="דביר פרץ"/>
    <x v="9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x v="0"/>
    <x v="0"/>
    <x v="0"/>
    <s v="בנימין 14"/>
    <n v="-1355"/>
    <s v="אלעד אריה"/>
    <n v="-206"/>
    <s v="עמיאל סרי"/>
    <n v="10060"/>
  </r>
  <r>
    <x v="1"/>
    <x v="1"/>
    <x v="1"/>
    <s v="יא הספורטאים 59"/>
    <n v="-720"/>
    <s v="עמיחי טאוב"/>
    <n v="-318"/>
    <s v="נריה כהן"/>
    <n v="11526"/>
  </r>
  <r>
    <x v="2"/>
    <x v="2"/>
    <x v="2"/>
    <s v="גינת השועלים 39"/>
    <n v="-554"/>
    <s v="מלכיאל חזן"/>
    <n v="-240"/>
    <s v="מאור לסקר"/>
    <n v="16945"/>
  </r>
  <r>
    <x v="3"/>
    <x v="3"/>
    <x v="3"/>
    <s v="רחל המשוררת 13"/>
    <n v="-700"/>
    <s v="אלעד אריה"/>
    <n v="-206"/>
    <s v="איילה זייד"/>
    <n v="16546"/>
  </r>
  <r>
    <x v="4"/>
    <x v="4"/>
    <x v="3"/>
    <s v="רחל המשוררת 14"/>
    <n v="-758"/>
    <s v="דוד תורג'מן"/>
    <n v="-240"/>
    <s v="עידו נברו"/>
    <n v="13106"/>
  </r>
  <r>
    <x v="5"/>
    <x v="5"/>
    <x v="3"/>
    <s v="רחל המשוררת 15"/>
    <n v="-1367"/>
    <s v="סעדיה נבון"/>
    <n v="-359"/>
    <s v="גיל פרידמן"/>
    <n v="15002"/>
  </r>
  <r>
    <x v="6"/>
    <x v="6"/>
    <x v="4"/>
    <s v="ויצמן 124"/>
    <n v="-922"/>
    <s v="יהושוע שפירא"/>
    <n v="-377"/>
    <s v="דניאלה גרוס"/>
    <n v="11991"/>
  </r>
  <r>
    <x v="7"/>
    <x v="7"/>
    <x v="4"/>
    <s v="ויצמן 125"/>
    <n v="-695"/>
    <s v="סעדיה נבון"/>
    <n v="-359"/>
    <s v="נעמה קומאן"/>
    <n v="18898"/>
  </r>
  <r>
    <x v="8"/>
    <x v="8"/>
    <x v="4"/>
    <s v="ויצמן 126"/>
    <n v="-563"/>
    <s v="יהושוע שפירא"/>
    <n v="-377"/>
    <s v="רחל איפרגן"/>
    <n v="15160"/>
  </r>
  <r>
    <x v="9"/>
    <x v="9"/>
    <x v="4"/>
    <s v="ויצמן 127"/>
    <n v="-665"/>
    <s v="יהושוע שפירא"/>
    <n v="-377"/>
    <s v="שירה צבעוני"/>
    <n v="15346"/>
  </r>
  <r>
    <x v="10"/>
    <x v="0"/>
    <x v="4"/>
    <s v="ויצמן 128"/>
    <n v="-507"/>
    <s v="עמית כהן"/>
    <n v="-348"/>
    <s v="נופר לוי"/>
    <n v="10934"/>
  </r>
  <r>
    <x v="11"/>
    <x v="10"/>
    <x v="5"/>
    <s v="חצר המלכה 33"/>
    <n v="-561"/>
    <s v="יוסי ויצמן"/>
    <n v="-356"/>
    <s v="ניתן אהרון"/>
    <n v="17232"/>
  </r>
  <r>
    <x v="12"/>
    <x v="11"/>
    <x v="6"/>
    <s v="שמחה 88"/>
    <n v="-1575"/>
    <s v="אביב כוכבי"/>
    <n v="-378"/>
    <s v="נריה הדר"/>
    <n v="13041"/>
  </r>
  <r>
    <x v="13"/>
    <x v="12"/>
    <x v="7"/>
    <s v="הבנים 78"/>
    <n v="-657"/>
    <s v="ורדה כהן"/>
    <n v="-441"/>
    <s v="יאיר שיפר"/>
    <n v="12810"/>
  </r>
  <r>
    <x v="14"/>
    <x v="13"/>
    <x v="8"/>
    <s v="הרב קוק 7"/>
    <n v="-1098"/>
    <s v="ורדה כהן"/>
    <n v="-441"/>
    <s v="בנימין דמרי"/>
    <n v="19095"/>
  </r>
  <r>
    <x v="15"/>
    <x v="14"/>
    <x v="9"/>
    <s v="חזון איש 12"/>
    <n v="-587"/>
    <s v="יוסי עמרמי"/>
    <n v="-477"/>
    <s v="הלל רטיג"/>
    <n v="10273"/>
  </r>
  <r>
    <x v="16"/>
    <x v="15"/>
    <x v="10"/>
    <s v="תל חי 45"/>
    <n v="-1704"/>
    <s v="יוסי עמרמי"/>
    <n v="-477"/>
    <s v="אביטל מדמון"/>
    <n v="15088"/>
  </r>
  <r>
    <x v="10"/>
    <x v="10"/>
    <x v="10"/>
    <s v="תל חי 46"/>
    <n v="-1370"/>
    <s v="יוסי עמרמי"/>
    <n v="-477"/>
    <s v="בנימין אהרון"/>
    <n v="16021"/>
  </r>
  <r>
    <x v="17"/>
    <x v="16"/>
    <x v="11"/>
    <s v="חשב סופר 26"/>
    <n v="-604"/>
    <s v="שמואל שרייבר"/>
    <n v="-290"/>
    <s v="יוסי סרי"/>
    <n v="17520"/>
  </r>
  <r>
    <x v="18"/>
    <x v="4"/>
    <x v="11"/>
    <s v="חשב סופר 27"/>
    <n v="-1016"/>
    <s v="קובי בן - עזרא"/>
    <n v="-454"/>
    <s v="יהודית שלר"/>
    <n v="9308"/>
  </r>
  <r>
    <x v="7"/>
    <x v="17"/>
    <x v="5"/>
    <s v="שלמה המלך 73"/>
    <n v="-590"/>
    <s v="אברהם ימיני"/>
    <n v="-211"/>
    <s v="נועה כהן"/>
    <n v="13371"/>
  </r>
  <r>
    <x v="3"/>
    <x v="18"/>
    <x v="12"/>
    <s v="שומשום 98"/>
    <n v="-508"/>
    <s v="משה שרביט"/>
    <n v="-284"/>
    <s v="רפאל אלמגור"/>
    <n v="14989"/>
  </r>
  <r>
    <x v="18"/>
    <x v="19"/>
    <x v="13"/>
    <s v="העליה 74"/>
    <n v="-1182"/>
    <s v="חיים לבייב"/>
    <n v="-308"/>
    <s v="רבקה שביט"/>
    <n v="13042"/>
  </r>
  <r>
    <x v="13"/>
    <x v="20"/>
    <x v="14"/>
    <s v="גרינזברג 37"/>
    <n v="-794"/>
    <s v="חיים לבייב"/>
    <n v="-308"/>
    <s v="בני ברט"/>
    <n v="16655"/>
  </r>
  <r>
    <x v="19"/>
    <x v="21"/>
    <x v="8"/>
    <s v="שדרות הנשיא 19"/>
    <n v="-1339"/>
    <s v="אריאל חסטר"/>
    <n v="-390"/>
    <s v="שמעון גוברין"/>
    <n v="10972"/>
  </r>
  <r>
    <x v="16"/>
    <x v="22"/>
    <x v="8"/>
    <s v="שדרות הנשיא 20"/>
    <n v="-1407"/>
    <s v="דוד יהלומי"/>
    <n v="-246"/>
    <s v="יואב הרוש"/>
    <n v="19191"/>
  </r>
  <r>
    <x v="20"/>
    <x v="23"/>
    <x v="8"/>
    <s v="שדרות הנשיא 21"/>
    <n v="-1637"/>
    <s v="דוד יהלומי"/>
    <n v="-246"/>
    <s v="דנה עודי"/>
    <n v="9733"/>
  </r>
  <r>
    <x v="19"/>
    <x v="2"/>
    <x v="8"/>
    <s v="שדרות הנשיא 22"/>
    <n v="-558"/>
    <s v="שושנה פנט"/>
    <n v="-236"/>
    <s v="לאה שלום"/>
    <n v="11128"/>
  </r>
  <r>
    <x v="21"/>
    <x v="0"/>
    <x v="8"/>
    <s v="שדרות הנשיא 23"/>
    <n v="-1190"/>
    <s v="דוד יהלומי"/>
    <n v="-246"/>
    <s v="יהונותן נאמן"/>
    <n v="19793"/>
  </r>
  <r>
    <x v="3"/>
    <x v="24"/>
    <x v="8"/>
    <s v="שדרות הנשיא 24"/>
    <n v="-619"/>
    <s v="שושנה פנט"/>
    <n v="-236"/>
    <s v="רבקה גיאת"/>
    <n v="10224"/>
  </r>
  <r>
    <x v="19"/>
    <x v="5"/>
    <x v="8"/>
    <s v="שדרות הנשיא 25"/>
    <n v="-1432"/>
    <s v="דוד יהלומי"/>
    <n v="-246"/>
    <s v="יפעת גורמן"/>
    <n v="19073"/>
  </r>
  <r>
    <x v="0"/>
    <x v="25"/>
    <x v="8"/>
    <s v="שדרות הנשיא 26"/>
    <n v="-1097"/>
    <s v="שושנה פנט"/>
    <n v="-236"/>
    <s v="רועי פוקס"/>
    <n v="12749"/>
  </r>
  <r>
    <x v="4"/>
    <x v="12"/>
    <x v="8"/>
    <s v="שדרות הנשיא 27"/>
    <n v="-1755"/>
    <s v="שושנה פנט"/>
    <n v="-236"/>
    <s v="שאול שער"/>
    <n v="12185"/>
  </r>
  <r>
    <x v="20"/>
    <x v="18"/>
    <x v="15"/>
    <s v="שנקין 28"/>
    <n v="-1355"/>
    <s v="אלישע יעקבי"/>
    <n v="-219"/>
    <s v="חן סרי"/>
    <n v="12511"/>
  </r>
  <r>
    <x v="11"/>
    <x v="20"/>
    <x v="15"/>
    <s v="שנקין 29"/>
    <n v="-1452"/>
    <s v="יפית חכמוני"/>
    <n v="-348"/>
    <s v="נוגה לסקר"/>
    <n v="18716"/>
  </r>
  <r>
    <x v="22"/>
    <x v="14"/>
    <x v="0"/>
    <s v="מתיתיהו 69"/>
    <n v="-1753"/>
    <s v="שמחה אטיאס"/>
    <n v="-301"/>
    <s v="משה כהן"/>
    <n v="12513"/>
  </r>
  <r>
    <x v="23"/>
    <x v="26"/>
    <x v="16"/>
    <s v="רמב&quot;ם 2"/>
    <n v="-1517"/>
    <s v="שמחה אטיאס"/>
    <n v="-301"/>
    <s v="אביחי קואן"/>
    <n v="16747"/>
  </r>
  <r>
    <x v="24"/>
    <x v="27"/>
    <x v="16"/>
    <s v="רמב&quot;ם 3"/>
    <n v="-1123"/>
    <s v="יונית סרוסי"/>
    <n v="-231"/>
    <s v="יהודה גראוס"/>
    <n v="14816"/>
  </r>
  <r>
    <x v="25"/>
    <x v="28"/>
    <x v="4"/>
    <s v="דוד המלך 51"/>
    <n v="-1237"/>
    <s v="אחיטוב גדליה"/>
    <n v="-245"/>
    <s v="יואל אהרונוביץ"/>
    <n v="9637"/>
  </r>
  <r>
    <x v="0"/>
    <x v="29"/>
    <x v="17"/>
    <s v="פיטרקובסקי 73"/>
    <n v="-669"/>
    <s v="נעמה קופיצקי"/>
    <n v="-331"/>
    <s v="בני מסמי"/>
    <n v="16942"/>
  </r>
  <r>
    <x v="1"/>
    <x v="5"/>
    <x v="18"/>
    <s v="וניצ'י 56"/>
    <n v="-1362"/>
    <s v="אהובה תנעמי"/>
    <n v="-422"/>
    <s v="נתאי הלל"/>
    <n v="18302"/>
  </r>
  <r>
    <x v="26"/>
    <x v="7"/>
    <x v="19"/>
    <s v="נווה החרש 82"/>
    <n v="-771"/>
    <s v="אהובה תנעמי"/>
    <n v="-422"/>
    <s v="יעל אלמוגי"/>
    <n v="9341"/>
  </r>
  <r>
    <x v="15"/>
    <x v="30"/>
    <x v="20"/>
    <s v="גלילאו 50"/>
    <n v="-733"/>
    <s v="שמחה אטיאס"/>
    <n v="-301"/>
    <s v="חיים נתניהו"/>
    <n v="12060"/>
  </r>
  <r>
    <x v="27"/>
    <x v="31"/>
    <x v="1"/>
    <s v="שמואל הנביא 70"/>
    <n v="-1466"/>
    <s v="שמחה אטיאס"/>
    <n v="-301"/>
    <s v="הדר אלמגור"/>
    <n v="9865"/>
  </r>
  <r>
    <x v="21"/>
    <x v="32"/>
    <x v="1"/>
    <s v="שמואל הנביא 71"/>
    <n v="-1560"/>
    <s v="שמחה אטיאס"/>
    <n v="-301"/>
    <s v="נגה לוי"/>
    <n v="19727"/>
  </r>
  <r>
    <x v="5"/>
    <x v="16"/>
    <x v="1"/>
    <s v="שמואל הנביא 72"/>
    <n v="-769"/>
    <s v="דנה לוי"/>
    <n v="-215"/>
    <s v="הדר ימיני"/>
    <n v="12392"/>
  </r>
  <r>
    <x v="28"/>
    <x v="15"/>
    <x v="1"/>
    <s v="שמואל הנביא 73"/>
    <n v="-906"/>
    <s v="דנה לוי"/>
    <n v="-215"/>
    <s v="אריאל אביב"/>
    <n v="17221"/>
  </r>
  <r>
    <x v="29"/>
    <x v="9"/>
    <x v="1"/>
    <s v="שמואל הנביא 74"/>
    <n v="-1695"/>
    <s v="דנה לוי"/>
    <n v="-215"/>
    <s v="דניאלה טסה"/>
    <n v="9059"/>
  </r>
  <r>
    <x v="5"/>
    <x v="33"/>
    <x v="1"/>
    <s v="שמואל הנביא 75"/>
    <n v="-1200"/>
    <s v="דנה לוי"/>
    <n v="-215"/>
    <s v="יאיר שלישמן"/>
    <n v="14121"/>
  </r>
  <r>
    <x v="30"/>
    <x v="34"/>
    <x v="1"/>
    <s v="יעלה 78"/>
    <n v="-1086"/>
    <s v="דנה לוי"/>
    <n v="-215"/>
    <s v="שרה וולפסון"/>
    <n v="14562"/>
  </r>
  <r>
    <x v="30"/>
    <x v="5"/>
    <x v="21"/>
    <s v="שמשון 22"/>
    <n v="-663"/>
    <s v="דנה לוי"/>
    <n v="-215"/>
    <s v="דוד נחמני"/>
    <n v="10190"/>
  </r>
  <r>
    <x v="23"/>
    <x v="6"/>
    <x v="21"/>
    <s v="השח&quot;ל 1"/>
    <n v="-951"/>
    <s v="דוד סיבוני"/>
    <n v="-459"/>
    <s v="אבישי אליאב"/>
    <n v="18448"/>
  </r>
  <r>
    <x v="31"/>
    <x v="1"/>
    <x v="22"/>
    <s v="השח&quot;ל 2"/>
    <n v="-1045"/>
    <s v="אחינועם ספאני"/>
    <n v="-497"/>
    <s v="עודד אמיר"/>
    <n v="12083"/>
  </r>
  <r>
    <x v="30"/>
    <x v="27"/>
    <x v="23"/>
    <s v="יונה הנביא 8"/>
    <n v="-968"/>
    <s v="אביתר משעלי"/>
    <n v="-341"/>
    <s v="רוני אביבי"/>
    <n v="15159"/>
  </r>
  <r>
    <x v="32"/>
    <x v="9"/>
    <x v="24"/>
    <s v="אלישע 10"/>
    <n v="-1073"/>
    <s v="אביתר משעלי"/>
    <n v="-341"/>
    <s v="שיר תמיר"/>
    <n v="13972"/>
  </r>
  <r>
    <x v="26"/>
    <x v="16"/>
    <x v="25"/>
    <s v="מבצע יהונתן 39"/>
    <n v="-948"/>
    <s v="ניר טבורי"/>
    <n v="-438"/>
    <s v="ספיר גנץ"/>
    <n v="14757"/>
  </r>
  <r>
    <x v="33"/>
    <x v="5"/>
    <x v="26"/>
    <s v="יששכר 18"/>
    <n v="-1382"/>
    <s v="ניר טבורי"/>
    <n v="-438"/>
    <s v="אוריה  מורד"/>
    <n v="14231"/>
  </r>
  <r>
    <x v="10"/>
    <x v="35"/>
    <x v="27"/>
    <s v="רבי עובדיה 21"/>
    <n v="-1626"/>
    <s v="יוחנן אטון"/>
    <n v="-388"/>
    <s v="אביב כהן"/>
    <n v="12418"/>
  </r>
  <r>
    <x v="34"/>
    <x v="26"/>
    <x v="22"/>
    <s v="המכבים 88"/>
    <n v="-1683"/>
    <s v="נתי שרגא"/>
    <n v="-200"/>
    <s v="עופר ברלב"/>
    <n v="14478"/>
  </r>
  <r>
    <x v="30"/>
    <x v="35"/>
    <x v="24"/>
    <s v="תל - חי 63"/>
    <n v="-893"/>
    <s v="רבקה דמרי"/>
    <n v="-204"/>
    <s v="חן אברהם"/>
    <n v="9101"/>
  </r>
  <r>
    <x v="35"/>
    <x v="17"/>
    <x v="28"/>
    <s v="הכרמל 17"/>
    <n v="-1733"/>
    <s v="נתמאל דמלין"/>
    <n v="-445"/>
    <s v="מלאכי גורן"/>
    <n v="14784"/>
  </r>
  <r>
    <x v="36"/>
    <x v="36"/>
    <x v="25"/>
    <s v="ניל&quot;י 29"/>
    <n v="-1645"/>
    <s v="נתמאל דמלין"/>
    <n v="-445"/>
    <s v="אריאל רבינוביץ"/>
    <n v="19256"/>
  </r>
  <r>
    <x v="29"/>
    <x v="18"/>
    <x v="23"/>
    <s v="בן - גוריון 84"/>
    <n v="-1009"/>
    <s v="נתמאל דמלין"/>
    <n v="-445"/>
    <s v="עידו לוי"/>
    <n v="18673"/>
  </r>
  <r>
    <x v="23"/>
    <x v="34"/>
    <x v="23"/>
    <s v="שושנה 5"/>
    <n v="-1511"/>
    <s v="אלישמע ויסמן"/>
    <n v="-436"/>
    <s v="גלעד רביד"/>
    <n v="14479"/>
  </r>
  <r>
    <x v="14"/>
    <x v="37"/>
    <x v="24"/>
    <s v="טרומפלדור 6"/>
    <n v="-1091"/>
    <s v="נתנאל סבג"/>
    <n v="-222"/>
    <s v="גל  שמעון"/>
    <n v="15933"/>
  </r>
  <r>
    <x v="10"/>
    <x v="38"/>
    <x v="21"/>
    <s v="מסילת ישרים 8"/>
    <n v="-1559"/>
    <s v="אביבה כהן"/>
    <n v="-268"/>
    <s v="נעה קולמן"/>
    <n v="11792"/>
  </r>
  <r>
    <x v="30"/>
    <x v="39"/>
    <x v="27"/>
    <s v="עוזי נרקיס 111"/>
    <n v="-743"/>
    <s v="אביבה כהן"/>
    <n v="-268"/>
    <s v="נדב משה"/>
    <n v="14024"/>
  </r>
  <r>
    <x v="21"/>
    <x v="4"/>
    <x v="29"/>
    <s v="רב צעיר 4"/>
    <n v="-730"/>
    <s v="בניה ביתן"/>
    <n v="-267"/>
    <s v="יונתן גולדברג"/>
    <n v="19042"/>
  </r>
  <r>
    <x v="36"/>
    <x v="21"/>
    <x v="30"/>
    <s v="מסילת ישרים 9"/>
    <n v="-1392"/>
    <s v="נריה אבידן"/>
    <n v="-425"/>
    <s v="אביבה שרעבי"/>
    <n v="16067"/>
  </r>
  <r>
    <x v="37"/>
    <x v="40"/>
    <x v="28"/>
    <s v="טרומפלדור 5"/>
    <n v="-1364"/>
    <s v="יוסף בר ששת"/>
    <n v="-494"/>
    <s v="פנינה חן"/>
    <n v="13007"/>
  </r>
  <r>
    <x v="38"/>
    <x v="17"/>
    <x v="22"/>
    <s v="הצבי 6"/>
    <n v="-1546"/>
    <s v="יוסי דוידוב"/>
    <n v="-259"/>
    <s v="אביה דוד"/>
    <n v="16200"/>
  </r>
  <r>
    <x v="5"/>
    <x v="9"/>
    <x v="24"/>
    <s v="נטף 5"/>
    <n v="-723"/>
    <s v="יוסף בר ששת"/>
    <n v="-494"/>
    <s v="אביתר לסרי"/>
    <n v="17523"/>
  </r>
  <r>
    <x v="8"/>
    <x v="41"/>
    <x v="29"/>
    <s v="החלוצים 48"/>
    <n v="-644"/>
    <s v="יוסי דוידוב"/>
    <n v="-259"/>
    <s v="ורדית ולדשטיין"/>
    <n v="13400"/>
  </r>
  <r>
    <x v="35"/>
    <x v="6"/>
    <x v="22"/>
    <s v="רחל המשוררת 91"/>
    <n v="-1227"/>
    <s v="זקרי ויצמן"/>
    <n v="-266"/>
    <s v="נפתלי גליקמן"/>
    <n v="15385"/>
  </r>
  <r>
    <x v="37"/>
    <x v="4"/>
    <x v="31"/>
    <s v="יד לבנים 73"/>
    <n v="-1606"/>
    <s v="מאיר קנטן"/>
    <n v="-239"/>
    <s v="נאור חדד"/>
    <n v="16423"/>
  </r>
  <r>
    <x v="39"/>
    <x v="42"/>
    <x v="32"/>
    <s v="פיטרקובסקי 20"/>
    <n v="-1281"/>
    <s v="שמרית קוממי"/>
    <n v="-341"/>
    <s v="אליה קינסבורסקי"/>
    <n v="12079"/>
  </r>
  <r>
    <x v="40"/>
    <x v="21"/>
    <x v="33"/>
    <s v="הרב קוק 33"/>
    <n v="-676"/>
    <s v="צוריאל חריר"/>
    <n v="-418"/>
    <s v="שני שוורץ"/>
    <n v="9498"/>
  </r>
  <r>
    <x v="41"/>
    <x v="27"/>
    <x v="34"/>
    <s v="רמב&quot;ם 13"/>
    <n v="-806"/>
    <s v="עמית ששון"/>
    <n v="-402"/>
    <s v="טל קורנפלד"/>
    <n v="9840"/>
  </r>
  <r>
    <x v="42"/>
    <x v="5"/>
    <x v="23"/>
    <s v="שלושת הבנים 51"/>
    <n v="-1152"/>
    <s v="עמית ששון"/>
    <n v="-402"/>
    <s v="תומר בן הרוש"/>
    <n v="18060"/>
  </r>
  <r>
    <x v="20"/>
    <x v="18"/>
    <x v="25"/>
    <s v="רבי עקיבא 17"/>
    <n v="-1588"/>
    <s v="מאיר קנטן"/>
    <n v="-239"/>
    <s v="אביטל לוי"/>
    <n v="12237"/>
  </r>
  <r>
    <x v="39"/>
    <x v="2"/>
    <x v="29"/>
    <s v="אנה פרנק 9"/>
    <n v="-1223"/>
    <s v="מאיר קנטן"/>
    <n v="-239"/>
    <s v="עמיחי צור"/>
    <n v="13675"/>
  </r>
  <r>
    <x v="3"/>
    <x v="2"/>
    <x v="35"/>
    <s v="רש&quot;י 2"/>
    <n v="-1388"/>
    <s v="זמרי וולקן"/>
    <n v="-363"/>
    <s v="אחיה ממן"/>
    <n v="12129"/>
  </r>
  <r>
    <x v="43"/>
    <x v="5"/>
    <x v="21"/>
    <s v="רוטשילד 11"/>
    <n v="-1538"/>
    <s v="זמרי וולקן"/>
    <n v="-363"/>
    <s v="נטע רקח"/>
    <n v="14372"/>
  </r>
  <r>
    <x v="44"/>
    <x v="17"/>
    <x v="36"/>
    <s v="טשרניחובסקי 50"/>
    <n v="-1473"/>
    <s v="זמרי וולקן"/>
    <n v="-363"/>
    <s v="עודד ברנוביץ"/>
    <n v="16731"/>
  </r>
  <r>
    <x v="20"/>
    <x v="18"/>
    <x v="35"/>
    <s v="שמעון 24"/>
    <n v="-1233"/>
    <s v="זמרי וולקן"/>
    <n v="-363"/>
    <s v="איילת מייסון"/>
    <n v="15525"/>
  </r>
  <r>
    <x v="23"/>
    <x v="26"/>
    <x v="34"/>
    <s v="מח&quot;ל 6"/>
    <n v="-1731"/>
    <s v="בני וולקן"/>
    <n v="-487"/>
    <s v="נעמי ברהנולץ"/>
    <n v="15622"/>
  </r>
  <r>
    <x v="45"/>
    <x v="43"/>
    <x v="22"/>
    <s v="הגורן 3"/>
    <n v="-1077"/>
    <s v="בני וולקן"/>
    <n v="-487"/>
    <s v="הדר ספיר"/>
    <n v="9725"/>
  </r>
  <r>
    <x v="46"/>
    <x v="44"/>
    <x v="26"/>
    <s v="יצחק שמיר 26"/>
    <n v="-519"/>
    <s v="הראל יחיאל"/>
    <n v="-307"/>
    <s v="שושי נגר"/>
    <n v="14290"/>
  </r>
  <r>
    <x v="45"/>
    <x v="44"/>
    <x v="25"/>
    <s v="בן עזאי 1"/>
    <n v="-1050"/>
    <s v="הראל יחיאל"/>
    <n v="-307"/>
    <s v="אירית מועלמי"/>
    <n v="11517"/>
  </r>
  <r>
    <x v="30"/>
    <x v="28"/>
    <x v="36"/>
    <s v="מאיר אריאל 66"/>
    <n v="-1203"/>
    <s v="שלומי בן חיים"/>
    <n v="-202"/>
    <s v="אליסף פכלר"/>
    <n v="17409"/>
  </r>
  <r>
    <x v="36"/>
    <x v="32"/>
    <x v="34"/>
    <s v="ראובן 49"/>
    <n v="-979"/>
    <s v="שלומי בן חיים"/>
    <n v="-202"/>
    <s v="דביר פרץ"/>
    <n v="137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n v="62710"/>
    <s v="דירת מגורים"/>
    <d v="2014-08-30T00:00:00"/>
    <x v="0"/>
    <x v="0"/>
    <s v="אלישע 10"/>
    <n v="-2879"/>
    <n v="3109219"/>
  </r>
  <r>
    <n v="2"/>
    <n v="68132"/>
    <s v="משרד"/>
    <d v="1982-12-29T00:00:00"/>
    <x v="0"/>
    <x v="0"/>
    <s v="תל - חי 63"/>
    <n v="-2940"/>
    <n v="5523117"/>
  </r>
  <r>
    <n v="3"/>
    <n v="91891"/>
    <s v="משרד"/>
    <d v="2003-09-21T00:00:00"/>
    <x v="0"/>
    <x v="0"/>
    <s v="טרומפלדור 6"/>
    <n v="-3426"/>
    <n v="3097810"/>
  </r>
  <r>
    <n v="4"/>
    <n v="60120"/>
    <s v="דירת מגורים"/>
    <d v="2003-06-13T00:00:00"/>
    <x v="0"/>
    <x v="0"/>
    <s v="נטף 5"/>
    <n v="-2739"/>
    <n v="1493186"/>
  </r>
  <r>
    <n v="5"/>
    <n v="44459"/>
    <s v="משרד"/>
    <d v="1964-02-28T00:00:00"/>
    <x v="0"/>
    <x v="1"/>
    <s v="חזון איש 12"/>
    <n v="-3369"/>
    <n v="4135412"/>
  </r>
  <r>
    <n v="6"/>
    <n v="59568"/>
    <s v="דירת מגורים"/>
    <d v="2016-02-04T00:00:00"/>
    <x v="1"/>
    <x v="2"/>
    <s v="השח&quot;ל 2"/>
    <n v="-3000"/>
    <n v="2420151"/>
  </r>
  <r>
    <n v="7"/>
    <n v="71190"/>
    <s v="דירת מגורים"/>
    <d v="1965-12-27T00:00:00"/>
    <x v="1"/>
    <x v="2"/>
    <s v="המכבים 88"/>
    <n v="-2660"/>
    <n v="4632523"/>
  </r>
  <r>
    <n v="8"/>
    <n v="83420"/>
    <s v="דירת מגורים"/>
    <d v="1967-01-31T00:00:00"/>
    <x v="1"/>
    <x v="2"/>
    <s v="הצבי 6"/>
    <n v="-2633"/>
    <n v="1265134"/>
  </r>
  <r>
    <n v="9"/>
    <n v="94328"/>
    <s v="משרד"/>
    <d v="1960-10-24T00:00:00"/>
    <x v="1"/>
    <x v="2"/>
    <s v="רחל המשוררת 91"/>
    <n v="-2884"/>
    <n v="2831684"/>
  </r>
  <r>
    <n v="10"/>
    <n v="29716"/>
    <s v="דירת מגורים"/>
    <d v="1978-05-01T00:00:00"/>
    <x v="1"/>
    <x v="2"/>
    <s v="הגורן 3"/>
    <n v="-3309"/>
    <n v="2688670"/>
  </r>
  <r>
    <n v="11"/>
    <n v="57004"/>
    <s v="משרד"/>
    <d v="1968-04-18T00:00:00"/>
    <x v="0"/>
    <x v="3"/>
    <s v="רבי עובדיה 21"/>
    <n v="-2963"/>
    <n v="5972648"/>
  </r>
  <r>
    <n v="12"/>
    <n v="86473"/>
    <s v="משרד"/>
    <d v="2015-01-18T00:00:00"/>
    <x v="0"/>
    <x v="3"/>
    <s v="עוזי נרקיס 111"/>
    <n v="-2743"/>
    <n v="1546879"/>
  </r>
  <r>
    <n v="13"/>
    <n v="45555"/>
    <s v="דירת מגורים"/>
    <d v="1990-12-10T00:00:00"/>
    <x v="0"/>
    <x v="4"/>
    <s v="מסילת ישרים 9"/>
    <n v="-2789"/>
    <n v="3289871"/>
  </r>
  <r>
    <n v="14"/>
    <n v="45556"/>
    <s v="דירת מגורים"/>
    <d v="1965-03-28T00:00:00"/>
    <x v="1"/>
    <x v="5"/>
    <s v="תל חי 45"/>
    <n v="-3423"/>
    <n v="4963662"/>
  </r>
  <r>
    <n v="15"/>
    <n v="13000"/>
    <s v="משרד"/>
    <d v="1993-05-08T00:00:00"/>
    <x v="1"/>
    <x v="5"/>
    <s v="תל חי 46"/>
    <n v="-3442"/>
    <n v="1678189"/>
  </r>
  <r>
    <n v="16"/>
    <n v="13001"/>
    <s v="דירת מגורים"/>
    <d v="2009-11-01T00:00:00"/>
    <x v="1"/>
    <x v="6"/>
    <s v="רחל המשוררת 13"/>
    <n v="-2500"/>
    <n v="5478708"/>
  </r>
  <r>
    <n v="17"/>
    <n v="13002"/>
    <s v="משרד"/>
    <d v="1975-09-05T00:00:00"/>
    <x v="1"/>
    <x v="6"/>
    <s v="רחל המשוררת 14"/>
    <n v="-3067"/>
    <n v="2749290"/>
  </r>
  <r>
    <n v="18"/>
    <n v="95636"/>
    <s v="דירת מגורים"/>
    <d v="1961-11-05T00:00:00"/>
    <x v="1"/>
    <x v="6"/>
    <s v="רחל המשוררת 15"/>
    <n v="-2973"/>
    <n v="2909104"/>
  </r>
  <r>
    <n v="19"/>
    <n v="82998"/>
    <s v="דירת מגורים"/>
    <d v="1995-02-21T00:00:00"/>
    <x v="2"/>
    <x v="7"/>
    <s v="יששכר 18"/>
    <n v="-2685"/>
    <n v="2654254"/>
  </r>
  <r>
    <n v="20"/>
    <n v="99200"/>
    <s v="דירת מגורים"/>
    <d v="2012-10-07T00:00:00"/>
    <x v="2"/>
    <x v="7"/>
    <s v="יצחק שמיר 26"/>
    <n v="-3170"/>
    <n v="3128183"/>
  </r>
  <r>
    <n v="21"/>
    <n v="75000"/>
    <s v="דירת מגורים"/>
    <d v="1962-08-17T00:00:00"/>
    <x v="2"/>
    <x v="8"/>
    <s v="פיטרקובסקי 73"/>
    <n v="-3107"/>
    <n v="5140967"/>
  </r>
  <r>
    <n v="22"/>
    <n v="78413"/>
    <s v="דירת מגורים"/>
    <d v="2018-12-23T00:00:00"/>
    <x v="0"/>
    <x v="9"/>
    <s v="שומשום 98"/>
    <n v="-3152"/>
    <n v="4829488"/>
  </r>
  <r>
    <n v="23"/>
    <n v="78414"/>
    <s v="דירת מגורים"/>
    <d v="1985-07-05T00:00:00"/>
    <x v="2"/>
    <x v="10"/>
    <s v="רמב&quot;ם 2"/>
    <n v="-2988"/>
    <n v="4932271"/>
  </r>
  <r>
    <n v="24"/>
    <n v="99202"/>
    <s v="דירת מגורים"/>
    <d v="1980-09-26T00:00:00"/>
    <x v="2"/>
    <x v="10"/>
    <s v="רמב&quot;ם 3"/>
    <n v="-3044"/>
    <n v="2369911"/>
  </r>
  <r>
    <n v="25"/>
    <n v="10989"/>
    <s v="דירת מגורים"/>
    <d v="1971-10-01T00:00:00"/>
    <x v="2"/>
    <x v="11"/>
    <s v="נווה החרש 82"/>
    <n v="-3465"/>
    <n v="4901872"/>
  </r>
  <r>
    <n v="26"/>
    <n v="99204"/>
    <s v="משרד"/>
    <d v="2020-10-31T00:00:00"/>
    <x v="2"/>
    <x v="12"/>
    <s v="יא הספורטאים 59"/>
    <n v="-3087"/>
    <n v="2724305"/>
  </r>
  <r>
    <n v="27"/>
    <n v="99205"/>
    <s v="דירת מגורים"/>
    <d v="1961-09-28T00:00:00"/>
    <x v="2"/>
    <x v="12"/>
    <s v="שמואל הנביא 70"/>
    <n v="-3078"/>
    <n v="4106189"/>
  </r>
  <r>
    <n v="28"/>
    <n v="99206"/>
    <s v="משרד"/>
    <d v="1980-04-23T00:00:00"/>
    <x v="2"/>
    <x v="12"/>
    <s v="שמואל הנביא 71"/>
    <n v="-3209"/>
    <n v="3032056"/>
  </r>
  <r>
    <n v="29"/>
    <n v="99207"/>
    <s v="משרד"/>
    <d v="1967-04-18T00:00:00"/>
    <x v="2"/>
    <x v="12"/>
    <s v="שמואל הנביא 72"/>
    <n v="-3486"/>
    <n v="5084147"/>
  </r>
  <r>
    <n v="30"/>
    <n v="99208"/>
    <s v="דירת מגורים"/>
    <d v="1971-11-09T00:00:00"/>
    <x v="2"/>
    <x v="12"/>
    <s v="שמואל הנביא 73"/>
    <n v="-2714"/>
    <n v="5636957"/>
  </r>
  <r>
    <n v="31"/>
    <n v="99209"/>
    <s v="משרד"/>
    <d v="1965-08-05T00:00:00"/>
    <x v="2"/>
    <x v="12"/>
    <s v="שמואל הנביא 74"/>
    <n v="-2856"/>
    <n v="4137460"/>
  </r>
  <r>
    <n v="32"/>
    <n v="99465"/>
    <s v="דירת מגורים"/>
    <d v="2005-04-10T00:00:00"/>
    <x v="2"/>
    <x v="12"/>
    <s v="שמואל הנביא 75"/>
    <n v="-2516"/>
    <n v="3542587"/>
  </r>
  <r>
    <n v="33"/>
    <n v="12347"/>
    <s v="משרד"/>
    <d v="1978-07-25T00:00:00"/>
    <x v="2"/>
    <x v="12"/>
    <s v="יעלה 78"/>
    <n v="-2561"/>
    <n v="4457208"/>
  </r>
  <r>
    <n v="34"/>
    <n v="99203"/>
    <s v="משרד"/>
    <d v="2000-12-19T00:00:00"/>
    <x v="1"/>
    <x v="13"/>
    <s v="גינת השועלים 39"/>
    <n v="-3364"/>
    <n v="4748222"/>
  </r>
  <r>
    <n v="35"/>
    <n v="36489"/>
    <s v="משרד"/>
    <d v="1978-06-20T00:00:00"/>
    <x v="2"/>
    <x v="14"/>
    <s v="גלילאו 50"/>
    <n v="-2619"/>
    <n v="4976249"/>
  </r>
  <r>
    <n v="36"/>
    <n v="75003"/>
    <s v="משרד"/>
    <d v="1965-02-01T00:00:00"/>
    <x v="1"/>
    <x v="15"/>
    <s v="הרב קוק 7"/>
    <n v="-3079"/>
    <n v="3015459"/>
  </r>
  <r>
    <n v="37"/>
    <n v="75004"/>
    <s v="משרד"/>
    <d v="1980-03-07T00:00:00"/>
    <x v="1"/>
    <x v="15"/>
    <s v="שדרות הנשיא 19"/>
    <n v="-3180"/>
    <n v="5293720"/>
  </r>
  <r>
    <n v="38"/>
    <n v="75005"/>
    <s v="דירת מגורים"/>
    <d v="1993-08-05T00:00:00"/>
    <x v="1"/>
    <x v="15"/>
    <s v="שדרות הנשיא 20"/>
    <n v="-3397"/>
    <n v="3114322"/>
  </r>
  <r>
    <n v="39"/>
    <n v="75006"/>
    <s v="דירת מגורים"/>
    <d v="2005-11-01T00:00:00"/>
    <x v="1"/>
    <x v="15"/>
    <s v="שדרות הנשיא 21"/>
    <n v="-3049"/>
    <n v="4036972"/>
  </r>
  <r>
    <n v="40"/>
    <n v="75007"/>
    <s v="משרד"/>
    <d v="2005-03-21T00:00:00"/>
    <x v="1"/>
    <x v="15"/>
    <s v="שדרות הנשיא 22"/>
    <n v="-3089"/>
    <n v="2923413"/>
  </r>
  <r>
    <n v="41"/>
    <n v="75008"/>
    <s v="דירת מגורים"/>
    <d v="1999-03-16T00:00:00"/>
    <x v="1"/>
    <x v="15"/>
    <s v="שדרות הנשיא 23"/>
    <n v="-2610"/>
    <n v="1808619"/>
  </r>
  <r>
    <n v="42"/>
    <n v="75009"/>
    <s v="משרד"/>
    <d v="1976-01-02T00:00:00"/>
    <x v="1"/>
    <x v="15"/>
    <s v="שדרות הנשיא 24"/>
    <n v="-3255"/>
    <n v="3269474"/>
  </r>
  <r>
    <n v="43"/>
    <n v="75010"/>
    <s v="דירת מגורים"/>
    <d v="1961-03-26T00:00:00"/>
    <x v="1"/>
    <x v="15"/>
    <s v="שדרות הנשיא 25"/>
    <n v="-3189"/>
    <n v="1181182"/>
  </r>
  <r>
    <n v="44"/>
    <n v="75011"/>
    <s v="משרד"/>
    <d v="1963-05-18T00:00:00"/>
    <x v="1"/>
    <x v="15"/>
    <s v="שדרות הנשיא 26"/>
    <n v="-2754"/>
    <n v="4895194"/>
  </r>
  <r>
    <n v="45"/>
    <n v="15000"/>
    <s v="משרד"/>
    <d v="2010-01-15T00:00:00"/>
    <x v="1"/>
    <x v="15"/>
    <s v="שדרות הנשיא 27"/>
    <n v="-2530"/>
    <n v="5821886"/>
  </r>
  <r>
    <n v="46"/>
    <n v="15001"/>
    <s v="משרד"/>
    <d v="1981-04-25T00:00:00"/>
    <x v="1"/>
    <x v="16"/>
    <s v="ויצמן 124"/>
    <n v="-3300"/>
    <n v="2360052"/>
  </r>
  <r>
    <n v="47"/>
    <n v="15002"/>
    <s v="דירת מגורים"/>
    <d v="1977-06-12T00:00:00"/>
    <x v="1"/>
    <x v="16"/>
    <s v="ויצמן 125"/>
    <n v="-3418"/>
    <n v="5411847"/>
  </r>
  <r>
    <n v="48"/>
    <n v="15003"/>
    <s v="דירת מגורים"/>
    <d v="1991-02-21T00:00:00"/>
    <x v="1"/>
    <x v="16"/>
    <s v="ויצמן 126"/>
    <n v="-3147"/>
    <n v="3488715"/>
  </r>
  <r>
    <n v="49"/>
    <n v="15004"/>
    <s v="דירת מגורים"/>
    <d v="1999-01-15T00:00:00"/>
    <x v="1"/>
    <x v="16"/>
    <s v="ויצמן 127"/>
    <n v="-3165"/>
    <n v="2804116"/>
  </r>
  <r>
    <n v="50"/>
    <n v="88888"/>
    <s v="משרד"/>
    <d v="1991-07-31T00:00:00"/>
    <x v="1"/>
    <x v="16"/>
    <s v="ויצמן 128"/>
    <n v="-3257"/>
    <n v="3163663"/>
  </r>
  <r>
    <n v="51"/>
    <n v="88897"/>
    <s v="משרד"/>
    <d v="2012-05-06T00:00:00"/>
    <x v="1"/>
    <x v="16"/>
    <s v="דוד המלך 51"/>
    <n v="-2678"/>
    <n v="6039372"/>
  </r>
  <r>
    <n v="52"/>
    <n v="25416"/>
    <s v="משרד"/>
    <d v="2012-10-29T00:00:00"/>
    <x v="1"/>
    <x v="16"/>
    <s v="הגלגל 32"/>
    <n v="-3085"/>
    <n v="3478214"/>
  </r>
  <r>
    <n v="53"/>
    <n v="54872"/>
    <s v="משרד"/>
    <d v="1978-06-03T00:00:00"/>
    <x v="2"/>
    <x v="17"/>
    <s v="שמחה 88"/>
    <n v="-2954"/>
    <n v="1183829"/>
  </r>
  <r>
    <n v="54"/>
    <n v="86073"/>
    <s v="משרד"/>
    <d v="1991-06-20T00:00:00"/>
    <x v="2"/>
    <x v="18"/>
    <s v="אחוזה 12"/>
    <n v="-2771"/>
    <n v="2979552"/>
  </r>
  <r>
    <n v="55"/>
    <n v="84798"/>
    <s v="דירת מגורים"/>
    <d v="1978-07-03T00:00:00"/>
    <x v="2"/>
    <x v="18"/>
    <s v="בן דוד 58"/>
    <n v="-2951"/>
    <n v="3685841"/>
  </r>
  <r>
    <n v="56"/>
    <n v="38341"/>
    <s v="דירת מגורים"/>
    <d v="1992-02-29T00:00:00"/>
    <x v="0"/>
    <x v="19"/>
    <s v="פיטרקובסקי 20"/>
    <n v="-2697"/>
    <n v="1279403"/>
  </r>
  <r>
    <n v="57"/>
    <n v="78416"/>
    <s v="משרד"/>
    <d v="1974-01-31T00:00:00"/>
    <x v="2"/>
    <x v="20"/>
    <s v="טשרניחובסקי 50"/>
    <n v="-3407"/>
    <n v="1246061"/>
  </r>
  <r>
    <n v="58"/>
    <n v="35205"/>
    <s v="משרד"/>
    <d v="1960-08-23T00:00:00"/>
    <x v="2"/>
    <x v="20"/>
    <s v="מאיר אריאל 66"/>
    <n v="-3002"/>
    <n v="6046974"/>
  </r>
  <r>
    <n v="59"/>
    <n v="57543"/>
    <s v="משרד"/>
    <d v="1966-09-18T00:00:00"/>
    <x v="2"/>
    <x v="20"/>
    <s v="נהוראי 81"/>
    <n v="-3043"/>
    <n v="2469273"/>
  </r>
  <r>
    <n v="60"/>
    <n v="63409"/>
    <s v="משרד"/>
    <d v="1994-02-16T00:00:00"/>
    <x v="0"/>
    <x v="21"/>
    <s v="מבצע יהונתן 39"/>
    <n v="-2751"/>
    <n v="4924133"/>
  </r>
  <r>
    <n v="61"/>
    <n v="70127"/>
    <s v="משרד"/>
    <d v="1972-09-10T00:00:00"/>
    <x v="0"/>
    <x v="21"/>
    <s v="ניל&quot;י 29"/>
    <n v="-2661"/>
    <n v="3486194"/>
  </r>
  <r>
    <n v="62"/>
    <n v="61559"/>
    <s v="משרד"/>
    <d v="1964-03-01T00:00:00"/>
    <x v="0"/>
    <x v="21"/>
    <s v="רבי עקיבא 17"/>
    <n v="-3333"/>
    <n v="2909091"/>
  </r>
  <r>
    <n v="63"/>
    <n v="29845"/>
    <s v="משרד"/>
    <d v="2020-11-11T00:00:00"/>
    <x v="0"/>
    <x v="21"/>
    <s v="בן עזאי 1"/>
    <n v="-2553"/>
    <n v="5527863"/>
  </r>
  <r>
    <n v="64"/>
    <n v="31321"/>
    <s v="משרד"/>
    <d v="1972-11-10T00:00:00"/>
    <x v="1"/>
    <x v="22"/>
    <s v="הבנים 78"/>
    <n v="-2529"/>
    <n v="1595282"/>
  </r>
  <r>
    <n v="65"/>
    <n v="80488"/>
    <s v="דירת מגורים"/>
    <d v="1996-07-12T00:00:00"/>
    <x v="2"/>
    <x v="23"/>
    <s v="רמב&quot;ם 13"/>
    <n v="-2520"/>
    <n v="4938351"/>
  </r>
  <r>
    <n v="66"/>
    <n v="82228"/>
    <s v="משרד"/>
    <d v="1962-02-15T00:00:00"/>
    <x v="2"/>
    <x v="23"/>
    <s v="מח&quot;ל 6"/>
    <n v="-2879"/>
    <n v="3200895"/>
  </r>
  <r>
    <n v="67"/>
    <n v="63420"/>
    <s v="דירת מגורים"/>
    <d v="1968-05-03T00:00:00"/>
    <x v="2"/>
    <x v="23"/>
    <s v="ראובן 49"/>
    <n v="-2515"/>
    <n v="2364994"/>
  </r>
  <r>
    <n v="68"/>
    <n v="88651"/>
    <s v="משרד"/>
    <d v="1974-12-23T00:00:00"/>
    <x v="2"/>
    <x v="23"/>
    <s v="ירמיהו 26"/>
    <n v="-2643"/>
    <n v="4037821"/>
  </r>
  <r>
    <n v="69"/>
    <n v="99201"/>
    <s v="משרד"/>
    <d v="2005-01-13T00:00:00"/>
    <x v="0"/>
    <x v="24"/>
    <s v="יד לבנים 73"/>
    <n v="-2617"/>
    <n v="4904761"/>
  </r>
  <r>
    <n v="70"/>
    <n v="48956"/>
    <s v="משרד"/>
    <d v="1969-04-05T00:00:00"/>
    <x v="2"/>
    <x v="25"/>
    <s v="וניצ'י 56"/>
    <n v="-3083"/>
    <n v="2575315"/>
  </r>
  <r>
    <n v="71"/>
    <n v="48957"/>
    <s v="דירת מגורים"/>
    <d v="2016-02-07T00:00:00"/>
    <x v="1"/>
    <x v="26"/>
    <s v="חשב סופר 26"/>
    <n v="-3455"/>
    <n v="1713111"/>
  </r>
  <r>
    <n v="72"/>
    <n v="10380"/>
    <s v="משרד"/>
    <d v="2000-07-16T00:00:00"/>
    <x v="1"/>
    <x v="26"/>
    <s v="חשב סופר 27"/>
    <n v="-2600"/>
    <n v="1934825"/>
  </r>
  <r>
    <n v="73"/>
    <n v="76485"/>
    <s v="משרד"/>
    <d v="1990-07-30T00:00:00"/>
    <x v="2"/>
    <x v="27"/>
    <s v="בנימין 14"/>
    <n v="-3296"/>
    <n v="5643834"/>
  </r>
  <r>
    <n v="74"/>
    <n v="77380"/>
    <s v="משרד"/>
    <d v="2003-08-25T00:00:00"/>
    <x v="2"/>
    <x v="27"/>
    <s v="מתיתיהו 69"/>
    <n v="-3224"/>
    <n v="1488618"/>
  </r>
  <r>
    <n v="75"/>
    <n v="98431"/>
    <s v="משרד"/>
    <d v="1984-09-14T00:00:00"/>
    <x v="2"/>
    <x v="28"/>
    <s v="יונה הנביא 8"/>
    <n v="-2830"/>
    <n v="4213891"/>
  </r>
  <r>
    <n v="76"/>
    <n v="64991"/>
    <s v="משרד"/>
    <d v="2002-12-06T00:00:00"/>
    <x v="2"/>
    <x v="28"/>
    <s v="בן - גוריון 84"/>
    <n v="-2692"/>
    <n v="3259436"/>
  </r>
  <r>
    <n v="77"/>
    <n v="27508"/>
    <s v="דירת מגורים"/>
    <d v="1996-05-19T00:00:00"/>
    <x v="2"/>
    <x v="28"/>
    <s v="שושנה 5"/>
    <n v="-3280"/>
    <n v="5160963"/>
  </r>
  <r>
    <n v="78"/>
    <n v="34514"/>
    <s v="משרד"/>
    <d v="1991-10-28T00:00:00"/>
    <x v="2"/>
    <x v="28"/>
    <s v="שלושת הבנים 51"/>
    <n v="-3468"/>
    <n v="6020215"/>
  </r>
  <r>
    <n v="79"/>
    <n v="60757"/>
    <s v="משרד"/>
    <d v="2019-04-13T00:00:00"/>
    <x v="2"/>
    <x v="29"/>
    <s v="הרב קוק 33"/>
    <n v="-2644"/>
    <n v="5158543"/>
  </r>
  <r>
    <n v="80"/>
    <n v="75002"/>
    <s v="משרד"/>
    <d v="2016-12-04T00:00:00"/>
    <x v="2"/>
    <x v="29"/>
    <s v="אבחוצירא 31"/>
    <n v="-2970"/>
    <n v="5818263"/>
  </r>
  <r>
    <n v="81"/>
    <n v="75001"/>
    <s v="דירת מגורים"/>
    <d v="1967-09-01T00:00:00"/>
    <x v="2"/>
    <x v="30"/>
    <s v="גרינזברג 37"/>
    <n v="-3395"/>
    <n v="5633391"/>
  </r>
  <r>
    <n v="82"/>
    <n v="76370"/>
    <s v="משרד"/>
    <d v="2016-03-23T00:00:00"/>
    <x v="0"/>
    <x v="31"/>
    <s v="העליה 74"/>
    <n v="-2904"/>
    <n v="1899424"/>
  </r>
  <r>
    <n v="83"/>
    <n v="69001"/>
    <s v="משרד"/>
    <d v="2015-10-09T00:00:00"/>
    <x v="1"/>
    <x v="32"/>
    <s v="רב צעיר 4"/>
    <n v="-3317"/>
    <n v="4853829"/>
  </r>
  <r>
    <n v="84"/>
    <n v="77045"/>
    <s v="משרד"/>
    <d v="1997-11-04T00:00:00"/>
    <x v="1"/>
    <x v="32"/>
    <s v="החלוצים 48"/>
    <n v="-2696"/>
    <n v="1227733"/>
  </r>
  <r>
    <n v="85"/>
    <n v="74732"/>
    <s v="דירת מגורים"/>
    <d v="1998-03-27T00:00:00"/>
    <x v="1"/>
    <x v="32"/>
    <s v="אנה פרנק 9"/>
    <n v="-3253"/>
    <n v="1693651"/>
  </r>
  <r>
    <n v="86"/>
    <n v="66107"/>
    <s v="דירת מגורים"/>
    <d v="1998-08-04T00:00:00"/>
    <x v="1"/>
    <x v="32"/>
    <s v="פינטו 62"/>
    <n v="-3205"/>
    <n v="2867759"/>
  </r>
  <r>
    <n v="87"/>
    <n v="32958"/>
    <s v="משרד"/>
    <d v="2005-06-09T00:00:00"/>
    <x v="1"/>
    <x v="33"/>
    <s v="רש&quot;י 2"/>
    <n v="-3088"/>
    <n v="5096717"/>
  </r>
  <r>
    <n v="88"/>
    <n v="90524"/>
    <s v="דירת מגורים"/>
    <d v="2006-01-23T00:00:00"/>
    <x v="1"/>
    <x v="33"/>
    <s v="שמעון 24"/>
    <n v="-3355"/>
    <n v="4558422"/>
  </r>
  <r>
    <n v="89"/>
    <n v="97318"/>
    <s v="דירת מגורים"/>
    <d v="1984-04-16T00:00:00"/>
    <x v="1"/>
    <x v="34"/>
    <s v="שמשון 22"/>
    <n v="-2568"/>
    <n v="3099041"/>
  </r>
  <r>
    <n v="90"/>
    <n v="94836"/>
    <s v="דירת מגורים"/>
    <d v="2007-06-16T00:00:00"/>
    <x v="1"/>
    <x v="34"/>
    <s v="השח&quot;ל 1"/>
    <n v="-3161"/>
    <n v="3373026"/>
  </r>
  <r>
    <n v="91"/>
    <n v="70489"/>
    <s v="דירת מגורים"/>
    <d v="1997-01-09T00:00:00"/>
    <x v="1"/>
    <x v="34"/>
    <s v="מסילת ישרים 8"/>
    <n v="-3151"/>
    <n v="5020265"/>
  </r>
  <r>
    <n v="92"/>
    <n v="31229"/>
    <s v="דירת מגורים"/>
    <d v="1999-04-26T00:00:00"/>
    <x v="1"/>
    <x v="34"/>
    <s v="רוטשילד 11"/>
    <n v="-2899"/>
    <n v="1466751"/>
  </r>
  <r>
    <n v="93"/>
    <n v="21389"/>
    <s v="דירת מגורים"/>
    <d v="1971-02-09T00:00:00"/>
    <x v="1"/>
    <x v="34"/>
    <s v="מכביה 33"/>
    <n v="-3044"/>
    <n v="1622070"/>
  </r>
  <r>
    <n v="94"/>
    <n v="49732"/>
    <s v="דירת מגורים"/>
    <d v="1986-01-01T00:00:00"/>
    <x v="1"/>
    <x v="35"/>
    <s v="חצר המלכה 33"/>
    <n v="-3006"/>
    <n v="5306701"/>
  </r>
  <r>
    <n v="95"/>
    <n v="76585"/>
    <s v="משרד"/>
    <d v="2010-12-16T00:00:00"/>
    <x v="1"/>
    <x v="35"/>
    <s v="שלמה המלך 73"/>
    <n v="-2932"/>
    <n v="4474774"/>
  </r>
  <r>
    <n v="96"/>
    <n v="98133"/>
    <s v="דירת מגורים"/>
    <d v="1965-06-15T00:00:00"/>
    <x v="0"/>
    <x v="36"/>
    <s v="הכרמל 17"/>
    <n v="-3387"/>
    <n v="1723630"/>
  </r>
  <r>
    <n v="97"/>
    <n v="86446"/>
    <s v="דירת מגורים"/>
    <d v="2000-07-06T00:00:00"/>
    <x v="0"/>
    <x v="36"/>
    <s v="טרומפלדור 5"/>
    <n v="-3274"/>
    <n v="1120546"/>
  </r>
  <r>
    <n v="98"/>
    <n v="86555"/>
    <s v="משרד"/>
    <d v="1972-06-18T00:00:00"/>
    <x v="0"/>
    <x v="36"/>
    <s v="יהודה המכבי 77"/>
    <n v="-2886"/>
    <n v="1569271"/>
  </r>
  <r>
    <n v="99"/>
    <n v="75640"/>
    <s v="דירת מגורים"/>
    <d v="1973-08-25T00:00:00"/>
    <x v="1"/>
    <x v="37"/>
    <s v="שנקין 28"/>
    <n v="-2824"/>
    <n v="3125745"/>
  </r>
  <r>
    <n v="100"/>
    <n v="75641"/>
    <s v="דירת מגורים"/>
    <d v="1985-09-26T00:00:00"/>
    <x v="1"/>
    <x v="37"/>
    <s v="שנקין 29"/>
    <n v="-3161"/>
    <n v="146675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n v="1"/>
    <n v="83492"/>
    <s v="צפת"/>
    <s v="בנימין 14"/>
    <x v="0"/>
    <s v="עמיאל סרי"/>
    <d v="2020-03-10T00:00:00"/>
    <d v="2022-07-10T00:00:00"/>
    <n v="10060"/>
  </r>
  <r>
    <n v="2"/>
    <n v="45164"/>
    <s v="טבריה"/>
    <s v="יא הספורטאים 59"/>
    <x v="1"/>
    <s v="נריה כהן"/>
    <d v="2017-10-10T00:00:00"/>
    <d v="2022-10-10T00:00:00"/>
    <n v="11526"/>
  </r>
  <r>
    <n v="3"/>
    <n v="75459"/>
    <s v="יבנה"/>
    <s v="גינת השועלים 39"/>
    <x v="2"/>
    <s v="מאור לסקר"/>
    <d v="2020-09-10T00:00:00"/>
    <d v="2022-09-10T00:00:00"/>
    <n v="16945"/>
  </r>
  <r>
    <n v="4"/>
    <n v="25583"/>
    <s v="הרצליה"/>
    <s v="רחל המשוררת 13"/>
    <x v="0"/>
    <s v="איילה זייד"/>
    <d v="2018-10-10T00:00:00"/>
    <d v="2022-10-10T00:00:00"/>
    <n v="16546"/>
  </r>
  <r>
    <n v="5"/>
    <n v="10149"/>
    <s v="הרצליה"/>
    <s v="רחל המשוררת 14"/>
    <x v="3"/>
    <s v="עידו נברו"/>
    <d v="2020-10-10T00:00:00"/>
    <d v="2022-08-10T00:00:00"/>
    <n v="13106"/>
  </r>
  <r>
    <n v="6"/>
    <n v="20629"/>
    <s v="הרצליה"/>
    <s v="רחל המשוררת 15"/>
    <x v="4"/>
    <s v="גיל פרידמן"/>
    <d v="2017-06-10T00:00:00"/>
    <d v="2021-07-10T00:00:00"/>
    <n v="15002"/>
  </r>
  <r>
    <n v="7"/>
    <n v="54016"/>
    <s v="כפר סבא"/>
    <s v="ויצמן 124"/>
    <x v="5"/>
    <s v="דניאלה גרוס"/>
    <d v="2018-03-10T00:00:00"/>
    <d v="2021-08-10T00:00:00"/>
    <n v="11991"/>
  </r>
  <r>
    <n v="8"/>
    <n v="78670"/>
    <s v="כפר סבא"/>
    <s v="ויצמן 125"/>
    <x v="4"/>
    <s v="נעמה קומאן"/>
    <d v="2017-01-10T00:00:00"/>
    <d v="2022-02-10T00:00:00"/>
    <n v="18898"/>
  </r>
  <r>
    <n v="9"/>
    <n v="22079"/>
    <s v="כפר סבא"/>
    <s v="ויצמן 126"/>
    <x v="5"/>
    <s v="רחל איפרגן"/>
    <d v="2019-01-10T00:00:00"/>
    <d v="2021-08-10T00:00:00"/>
    <n v="15160"/>
  </r>
  <r>
    <n v="10"/>
    <n v="25954"/>
    <s v="כפר סבא"/>
    <s v="ויצמן 127"/>
    <x v="5"/>
    <s v="שירה צבעוני"/>
    <d v="2016-03-10T00:00:00"/>
    <d v="2022-06-10T00:00:00"/>
    <n v="15346"/>
  </r>
  <r>
    <n v="11"/>
    <n v="59626"/>
    <s v="כפר סבא"/>
    <s v="ויצמן 128"/>
    <x v="6"/>
    <s v="נופר לוי"/>
    <d v="2019-08-10T00:00:00"/>
    <d v="2021-07-10T00:00:00"/>
    <n v="10934"/>
  </r>
  <r>
    <n v="12"/>
    <n v="86997"/>
    <s v="רעננה"/>
    <s v="חצר המלכה 33"/>
    <x v="7"/>
    <s v="ניתן אהרון"/>
    <d v="2017-11-10T00:00:00"/>
    <d v="2022-05-10T00:00:00"/>
    <n v="17232"/>
  </r>
  <r>
    <n v="13"/>
    <n v="15971"/>
    <s v="כרמיאל"/>
    <s v="שמחה 88"/>
    <x v="8"/>
    <s v="נריה הדר"/>
    <d v="2017-05-10T00:00:00"/>
    <d v="2021-12-10T00:00:00"/>
    <n v="13041"/>
  </r>
  <r>
    <n v="14"/>
    <n v="64442"/>
    <s v="נתניה"/>
    <s v="הבנים 78"/>
    <x v="9"/>
    <s v="יאיר שיפר"/>
    <d v="2018-05-10T00:00:00"/>
    <d v="2022-02-10T00:00:00"/>
    <n v="12810"/>
  </r>
  <r>
    <n v="15"/>
    <n v="33476"/>
    <s v="ירושלים"/>
    <s v="הרב קוק 7"/>
    <x v="9"/>
    <s v="בנימין דמרי"/>
    <d v="2020-08-10T00:00:00"/>
    <d v="2021-06-10T00:00:00"/>
    <n v="19095"/>
  </r>
  <r>
    <n v="16"/>
    <n v="53718"/>
    <s v="אשקלון"/>
    <s v="חזון איש 12"/>
    <x v="10"/>
    <s v="הלל רטיג"/>
    <d v="2018-07-10T00:00:00"/>
    <d v="2022-01-10T00:00:00"/>
    <n v="10273"/>
  </r>
  <r>
    <n v="17"/>
    <n v="74126"/>
    <s v="הוד השרון"/>
    <s v="תל חי 45"/>
    <x v="10"/>
    <s v="אביטל מדמון"/>
    <d v="2020-04-10T00:00:00"/>
    <d v="2022-07-10T00:00:00"/>
    <n v="15088"/>
  </r>
  <r>
    <n v="18"/>
    <n v="81801"/>
    <s v="הוד השרון"/>
    <s v="תל חי 46"/>
    <x v="10"/>
    <s v="בנימין אהרון"/>
    <d v="2019-08-10T00:00:00"/>
    <d v="2021-05-10T00:00:00"/>
    <n v="16021"/>
  </r>
  <r>
    <n v="19"/>
    <n v="93772"/>
    <s v="פתח תקווה"/>
    <s v="חשב סופר 26"/>
    <x v="11"/>
    <s v="יוסי סרי"/>
    <d v="2020-11-10T00:00:00"/>
    <d v="2021-12-10T00:00:00"/>
    <n v="17520"/>
  </r>
  <r>
    <n v="20"/>
    <n v="42103"/>
    <s v="פתח תקווה"/>
    <s v="חשב סופר 27"/>
    <x v="12"/>
    <s v="יהודית שלר"/>
    <d v="2018-02-10T00:00:00"/>
    <d v="2022-08-10T00:00:00"/>
    <n v="9308"/>
  </r>
  <r>
    <n v="21"/>
    <n v="13287"/>
    <s v="רעננה"/>
    <s v="שלמה המלך 73"/>
    <x v="13"/>
    <s v="נועה כהן"/>
    <d v="2017-01-10T00:00:00"/>
    <d v="2022-12-10T00:00:00"/>
    <n v="13371"/>
  </r>
  <r>
    <n v="22"/>
    <n v="36380"/>
    <s v="חולון"/>
    <s v="שומשום 98"/>
    <x v="14"/>
    <s v="רפאל אלמגור"/>
    <d v="2018-10-10T00:00:00"/>
    <d v="2021-10-10T00:00:00"/>
    <n v="14989"/>
  </r>
  <r>
    <n v="23"/>
    <n v="32530"/>
    <s v="קריית גת"/>
    <s v="העליה 74"/>
    <x v="15"/>
    <s v="רבקה שביט"/>
    <d v="2018-02-10T00:00:00"/>
    <d v="2021-05-10T00:00:00"/>
    <n v="13042"/>
  </r>
  <r>
    <n v="24"/>
    <n v="68576"/>
    <s v="קריות"/>
    <s v="גרינזברג 37"/>
    <x v="15"/>
    <s v="בני ברט"/>
    <d v="2018-05-10T00:00:00"/>
    <d v="2022-04-10T00:00:00"/>
    <n v="16655"/>
  </r>
  <r>
    <n v="25"/>
    <n v="30438"/>
    <s v="ירושלים"/>
    <s v="שדרות הנשיא 19"/>
    <x v="16"/>
    <s v="שמעון גוברין"/>
    <d v="2016-07-10T00:00:00"/>
    <d v="2021-03-10T00:00:00"/>
    <n v="10972"/>
  </r>
  <r>
    <n v="26"/>
    <n v="81818"/>
    <s v="ירושלים"/>
    <s v="שדרות הנשיא 20"/>
    <x v="17"/>
    <s v="יואב הרוש"/>
    <d v="2020-04-10T00:00:00"/>
    <d v="2021-02-10T00:00:00"/>
    <n v="19191"/>
  </r>
  <r>
    <n v="27"/>
    <n v="41278"/>
    <s v="ירושלים"/>
    <s v="שדרות הנשיא 21"/>
    <x v="17"/>
    <s v="דנה עודי"/>
    <d v="2019-10-10T00:00:00"/>
    <d v="2021-01-10T00:00:00"/>
    <n v="9733"/>
  </r>
  <r>
    <n v="28"/>
    <n v="28451"/>
    <s v="ירושלים"/>
    <s v="שדרות הנשיא 22"/>
    <x v="18"/>
    <s v="לאה שלום"/>
    <d v="2016-07-10T00:00:00"/>
    <d v="2022-09-10T00:00:00"/>
    <n v="11128"/>
  </r>
  <r>
    <n v="29"/>
    <n v="81893"/>
    <s v="ירושלים"/>
    <s v="שדרות הנשיא 23"/>
    <x v="17"/>
    <s v="יהונותן נאמן"/>
    <d v="2017-09-10T00:00:00"/>
    <d v="2021-07-10T00:00:00"/>
    <n v="19793"/>
  </r>
  <r>
    <n v="30"/>
    <n v="56577"/>
    <s v="ירושלים"/>
    <s v="שדרות הנשיא 24"/>
    <x v="18"/>
    <s v="רבקה גיאת"/>
    <d v="2018-10-10T00:00:00"/>
    <d v="2022-04-10T00:00:00"/>
    <n v="10224"/>
  </r>
  <r>
    <n v="31"/>
    <n v="37489"/>
    <s v="ירושלים"/>
    <s v="שדרות הנשיא 25"/>
    <x v="17"/>
    <s v="יפעת גורמן"/>
    <d v="2016-07-10T00:00:00"/>
    <d v="2021-07-10T00:00:00"/>
    <n v="19073"/>
  </r>
  <r>
    <n v="32"/>
    <n v="14632"/>
    <s v="ירושלים"/>
    <s v="שדרות הנשיא 26"/>
    <x v="18"/>
    <s v="רועי פוקס"/>
    <d v="2020-03-10T00:00:00"/>
    <d v="2021-09-10T00:00:00"/>
    <n v="12749"/>
  </r>
  <r>
    <n v="33"/>
    <n v="29368"/>
    <s v="ירושלים"/>
    <s v="שדרות הנשיא 27"/>
    <x v="18"/>
    <s v="שאול שער"/>
    <d v="2020-10-10T00:00:00"/>
    <d v="2022-02-10T00:00:00"/>
    <n v="12185"/>
  </r>
  <r>
    <n v="34"/>
    <n v="25088"/>
    <s v="תל אביב"/>
    <s v="שנקין 28"/>
    <x v="19"/>
    <s v="חן סרי"/>
    <d v="2019-10-10T00:00:00"/>
    <d v="2021-10-10T00:00:00"/>
    <n v="12511"/>
  </r>
  <r>
    <n v="35"/>
    <n v="63823"/>
    <s v="תל אביב"/>
    <s v="שנקין 29"/>
    <x v="20"/>
    <s v="נוגה לסקר"/>
    <d v="2017-11-10T00:00:00"/>
    <d v="2022-04-10T00:00:00"/>
    <n v="18716"/>
  </r>
  <r>
    <n v="36"/>
    <n v="39028"/>
    <s v="צפת"/>
    <s v="מתיתיהו 69"/>
    <x v="21"/>
    <s v="משה כהן"/>
    <d v="2016-11-10T00:00:00"/>
    <d v="2022-01-10T00:00:00"/>
    <n v="12513"/>
  </r>
  <r>
    <n v="37"/>
    <n v="23082"/>
    <s v="חיפה"/>
    <s v="רמב&quot;ם 2"/>
    <x v="21"/>
    <s v="אביחי קואן"/>
    <d v="2018-08-10T00:00:00"/>
    <d v="2021-06-10T00:00:00"/>
    <n v="16747"/>
  </r>
  <r>
    <n v="38"/>
    <n v="72220"/>
    <s v="חיפה"/>
    <s v="רמב&quot;ם 3"/>
    <x v="22"/>
    <s v="יהודה גראוס"/>
    <d v="2016-12-10T00:00:00"/>
    <d v="2022-03-10T00:00:00"/>
    <n v="14816"/>
  </r>
  <r>
    <n v="39"/>
    <n v="43105"/>
    <s v="כפר סבא"/>
    <s v="דוד המלך 51"/>
    <x v="23"/>
    <s v="יואל אהרונוביץ"/>
    <d v="2019-05-10T00:00:00"/>
    <d v="2022-04-10T00:00:00"/>
    <n v="9637"/>
  </r>
  <r>
    <n v="40"/>
    <n v="35712"/>
    <s v="חדרה"/>
    <s v="פיטרקובסקי 73"/>
    <x v="24"/>
    <s v="בני מסמי"/>
    <d v="2020-03-10T00:00:00"/>
    <d v="2022-07-10T00:00:00"/>
    <n v="16942"/>
  </r>
  <r>
    <n v="41"/>
    <n v="97079"/>
    <s v="פרדס חנה"/>
    <s v="וניצ'י 56"/>
    <x v="25"/>
    <s v="נתאי הלל"/>
    <d v="2017-10-10T00:00:00"/>
    <d v="2021-07-10T00:00:00"/>
    <n v="18302"/>
  </r>
  <r>
    <n v="42"/>
    <n v="84676"/>
    <s v="חצור הגלילית"/>
    <s v="נווה החרש 82"/>
    <x v="25"/>
    <s v="יעל אלמוגי"/>
    <d v="2016-09-10T00:00:00"/>
    <d v="2022-02-10T00:00:00"/>
    <n v="9341"/>
  </r>
  <r>
    <n v="43"/>
    <n v="38738"/>
    <s v="יוקנעם"/>
    <s v="גלילאו 50"/>
    <x v="21"/>
    <s v="חיים נתניהו"/>
    <d v="2018-07-10T00:00:00"/>
    <d v="2022-05-10T00:00:00"/>
    <n v="12060"/>
  </r>
  <r>
    <n v="44"/>
    <n v="59150"/>
    <s v="טבריה"/>
    <s v="שמואל הנביא 70"/>
    <x v="21"/>
    <s v="הדר אלמגור"/>
    <d v="2016-10-10T00:00:00"/>
    <d v="2022-08-10T00:00:00"/>
    <n v="9865"/>
  </r>
  <r>
    <n v="45"/>
    <n v="40981"/>
    <s v="טבריה"/>
    <s v="שמואל הנביא 71"/>
    <x v="21"/>
    <s v="נגה לוי"/>
    <d v="2017-09-10T00:00:00"/>
    <d v="2021-01-10T00:00:00"/>
    <n v="19727"/>
  </r>
  <r>
    <n v="46"/>
    <n v="82823"/>
    <s v="טבריה"/>
    <s v="שמואל הנביא 72"/>
    <x v="26"/>
    <s v="הדר ימיני"/>
    <d v="2017-06-10T00:00:00"/>
    <d v="2021-12-10T00:00:00"/>
    <n v="12392"/>
  </r>
  <r>
    <n v="47"/>
    <n v="65963"/>
    <s v="טבריה"/>
    <s v="שמואל הנביא 73"/>
    <x v="26"/>
    <s v="אריאל אביב"/>
    <d v="2018-06-10T00:00:00"/>
    <d v="2022-07-10T00:00:00"/>
    <n v="17221"/>
  </r>
  <r>
    <n v="48"/>
    <n v="32040"/>
    <s v="טבריה"/>
    <s v="שמואל הנביא 74"/>
    <x v="26"/>
    <s v="דניאלה טסה"/>
    <d v="2016-08-10T00:00:00"/>
    <d v="2022-06-10T00:00:00"/>
    <n v="9059"/>
  </r>
  <r>
    <n v="49"/>
    <n v="57773"/>
    <s v="טבריה"/>
    <s v="שמואל הנביא 75"/>
    <x v="26"/>
    <s v="יאיר שלישמן"/>
    <d v="2017-06-10T00:00:00"/>
    <d v="2022-11-10T00:00:00"/>
    <n v="14121"/>
  </r>
  <r>
    <n v="50"/>
    <n v="43394"/>
    <s v="טבריה"/>
    <s v="יעלה 78"/>
    <x v="26"/>
    <s v="שרה וולפסון"/>
    <d v="2016-05-10T00:00:00"/>
    <d v="2021-11-10T00:00:00"/>
    <n v="14562"/>
  </r>
  <r>
    <n v="51"/>
    <n v="75382"/>
    <s v="רמת השרון"/>
    <s v="שמשון 22"/>
    <x v="26"/>
    <s v="דוד נחמני"/>
    <d v="2016-05-10T00:00:00"/>
    <d v="2021-07-10T00:00:00"/>
    <n v="10190"/>
  </r>
  <r>
    <n v="52"/>
    <n v="59743"/>
    <s v="רמת השרון"/>
    <s v="השח&quot;ל 1"/>
    <x v="27"/>
    <s v="אבישי אליאב"/>
    <d v="2018-08-10T00:00:00"/>
    <d v="2021-08-10T00:00:00"/>
    <n v="18448"/>
  </r>
  <r>
    <n v="53"/>
    <n v="53887"/>
    <s v="בני ברק"/>
    <s v="השח&quot;ל 2"/>
    <x v="28"/>
    <s v="עודד אמיר"/>
    <d v="2020-12-10T00:00:00"/>
    <d v="2022-10-10T00:00:00"/>
    <n v="12083"/>
  </r>
  <r>
    <n v="54"/>
    <n v="33749"/>
    <s v="קיסריה"/>
    <s v="יונה הנביא 8"/>
    <x v="29"/>
    <s v="רוני אביבי"/>
    <d v="2016-05-10T00:00:00"/>
    <d v="2022-03-10T00:00:00"/>
    <n v="15159"/>
  </r>
  <r>
    <n v="55"/>
    <n v="19260"/>
    <s v="אילת"/>
    <s v="אלישע 10"/>
    <x v="29"/>
    <s v="שיר תמיר"/>
    <d v="2018-01-10T00:00:00"/>
    <d v="2022-06-10T00:00:00"/>
    <n v="13972"/>
  </r>
  <r>
    <n v="56"/>
    <n v="98781"/>
    <s v="נתיבות"/>
    <s v="מבצע יהונתן 39"/>
    <x v="30"/>
    <s v="ספיר גנץ"/>
    <d v="2016-09-10T00:00:00"/>
    <d v="2021-12-10T00:00:00"/>
    <n v="14757"/>
  </r>
  <r>
    <n v="57"/>
    <n v="61771"/>
    <s v="זכרון יעקב"/>
    <s v="יששכר 18"/>
    <x v="30"/>
    <s v="אוריה  מורד"/>
    <d v="2017-04-10T00:00:00"/>
    <d v="2021-07-10T00:00:00"/>
    <n v="14231"/>
  </r>
  <r>
    <n v="58"/>
    <n v="36099"/>
    <s v="גדרה"/>
    <s v="רבי עובדיה 21"/>
    <x v="31"/>
    <s v="אביב כהן"/>
    <d v="2019-08-10T00:00:00"/>
    <d v="2022-05-10T00:00:00"/>
    <n v="12418"/>
  </r>
  <r>
    <n v="59"/>
    <n v="96222"/>
    <s v="בני ברק"/>
    <s v="המכבים 88"/>
    <x v="32"/>
    <s v="עופר ברלב"/>
    <d v="2020-06-10T00:00:00"/>
    <d v="2021-06-10T00:00:00"/>
    <n v="14478"/>
  </r>
  <r>
    <n v="60"/>
    <n v="67559"/>
    <s v="אילת"/>
    <s v="תל - חי 63"/>
    <x v="33"/>
    <s v="חן אברהם"/>
    <d v="2016-05-10T00:00:00"/>
    <d v="2021-05-10T00:00:00"/>
    <n v="9101"/>
  </r>
  <r>
    <n v="61"/>
    <n v="83435"/>
    <s v="שדרות"/>
    <s v="הכרמל 17"/>
    <x v="34"/>
    <s v="מלאכי גורן"/>
    <d v="2016-01-10T00:00:00"/>
    <d v="2022-12-10T00:00:00"/>
    <n v="14784"/>
  </r>
  <r>
    <n v="62"/>
    <n v="80691"/>
    <s v="נתיבות"/>
    <s v="ניל&quot;י 29"/>
    <x v="34"/>
    <s v="אריאל רבינוביץ"/>
    <d v="2017-07-10T00:00:00"/>
    <d v="2022-10-10T00:00:00"/>
    <n v="19256"/>
  </r>
  <r>
    <n v="63"/>
    <n v="42965"/>
    <s v="קיסריה"/>
    <s v="בן - גוריון 84"/>
    <x v="34"/>
    <s v="עידו לוי"/>
    <d v="2016-08-10T00:00:00"/>
    <d v="2021-10-10T00:00:00"/>
    <n v="18673"/>
  </r>
  <r>
    <n v="64"/>
    <n v="14342"/>
    <s v="קיסריה"/>
    <s v="שושנה 5"/>
    <x v="35"/>
    <s v="גלעד רביד"/>
    <d v="2018-08-10T00:00:00"/>
    <d v="2021-11-10T00:00:00"/>
    <n v="14479"/>
  </r>
  <r>
    <n v="65"/>
    <n v="19846"/>
    <s v="אילת"/>
    <s v="טרומפלדור 6"/>
    <x v="36"/>
    <s v="גל  שמעון"/>
    <d v="2020-08-10T00:00:00"/>
    <d v="2021-11-10T00:00:00"/>
    <n v="15933"/>
  </r>
  <r>
    <n v="66"/>
    <n v="33261"/>
    <s v="רמת השרון"/>
    <s v="מסילת ישרים 8"/>
    <x v="37"/>
    <s v="נעה קולמן"/>
    <d v="2019-08-10T00:00:00"/>
    <d v="2022-12-10T00:00:00"/>
    <n v="11792"/>
  </r>
  <r>
    <n v="67"/>
    <n v="32419"/>
    <s v="גדרה"/>
    <s v="עוזי נרקיס 111"/>
    <x v="37"/>
    <s v="נדב משה"/>
    <d v="2016-05-10T00:00:00"/>
    <d v="2021-06-10T00:00:00"/>
    <n v="14024"/>
  </r>
  <r>
    <n v="68"/>
    <n v="32806"/>
    <s v="ראש העין"/>
    <s v="רב צעיר 4"/>
    <x v="38"/>
    <s v="יונתן גולדברג"/>
    <d v="2017-09-10T00:00:00"/>
    <d v="2022-08-10T00:00:00"/>
    <n v="19042"/>
  </r>
  <r>
    <n v="69"/>
    <n v="41507"/>
    <s v="דימונה"/>
    <s v="מסילת ישרים 9"/>
    <x v="39"/>
    <s v="אביבה שרעבי"/>
    <d v="2017-07-10T00:00:00"/>
    <d v="2021-03-10T00:00:00"/>
    <n v="16067"/>
  </r>
  <r>
    <n v="70"/>
    <n v="60492"/>
    <s v="שדרות"/>
    <s v="טרומפלדור 5"/>
    <x v="40"/>
    <s v="פנינה חן"/>
    <d v="2019-07-10T00:00:00"/>
    <d v="2022-10-10T00:00:00"/>
    <n v="13007"/>
  </r>
  <r>
    <n v="71"/>
    <n v="18260"/>
    <s v="בני ברק"/>
    <s v="הצבי 6"/>
    <x v="41"/>
    <s v="אביה דוד"/>
    <d v="2018-11-10T00:00:00"/>
    <d v="2022-12-10T00:00:00"/>
    <n v="16200"/>
  </r>
  <r>
    <n v="72"/>
    <n v="47647"/>
    <s v="אילת"/>
    <s v="נטף 5"/>
    <x v="40"/>
    <s v="אביתר לסרי"/>
    <d v="2017-06-10T00:00:00"/>
    <d v="2022-06-10T00:00:00"/>
    <n v="17523"/>
  </r>
  <r>
    <n v="73"/>
    <n v="91186"/>
    <s v="ראש העין"/>
    <s v="החלוצים 48"/>
    <x v="41"/>
    <s v="ורדית ולדשטיין"/>
    <d v="2019-01-10T00:00:00"/>
    <d v="2021-05-10T00:00:00"/>
    <n v="13400"/>
  </r>
  <r>
    <n v="74"/>
    <n v="69695"/>
    <s v="בני ברק"/>
    <s v="רחל המשוררת 91"/>
    <x v="42"/>
    <s v="נפתלי גליקמן"/>
    <d v="2016-01-10T00:00:00"/>
    <d v="2021-08-10T00:00:00"/>
    <n v="15385"/>
  </r>
  <r>
    <n v="75"/>
    <n v="13838"/>
    <s v="ערד"/>
    <s v="יד לבנים 73"/>
    <x v="43"/>
    <s v="נאור חדד"/>
    <d v="2019-07-10T00:00:00"/>
    <d v="2022-08-10T00:00:00"/>
    <n v="16423"/>
  </r>
  <r>
    <n v="76"/>
    <n v="58137"/>
    <s v="מצפה רמון"/>
    <s v="פיטרקובסקי 20"/>
    <x v="44"/>
    <s v="אליה קינסבורסקי"/>
    <d v="2016-02-10T00:00:00"/>
    <d v="2021-01-10T00:00:00"/>
    <n v="12079"/>
  </r>
  <r>
    <n v="77"/>
    <n v="10023"/>
    <s v="קצרין"/>
    <s v="הרב קוק 33"/>
    <x v="45"/>
    <s v="שני שוורץ"/>
    <d v="2019-11-10T00:00:00"/>
    <d v="2021-03-10T00:00:00"/>
    <n v="9498"/>
  </r>
  <r>
    <n v="78"/>
    <n v="31095"/>
    <s v="עפולה"/>
    <s v="רמב&quot;ם 13"/>
    <x v="46"/>
    <s v="טל קורנפלד"/>
    <d v="2020-05-10T00:00:00"/>
    <d v="2022-03-10T00:00:00"/>
    <n v="9840"/>
  </r>
  <r>
    <n v="79"/>
    <n v="55479"/>
    <s v="קיסריה"/>
    <s v="שלושת הבנים 51"/>
    <x v="46"/>
    <s v="תומר בן הרוש"/>
    <d v="2018-04-10T00:00:00"/>
    <d v="2021-07-10T00:00:00"/>
    <n v="18060"/>
  </r>
  <r>
    <n v="80"/>
    <n v="30545"/>
    <s v="נתיבות"/>
    <s v="רבי עקיבא 17"/>
    <x v="43"/>
    <s v="אביטל לוי"/>
    <d v="2019-10-10T00:00:00"/>
    <d v="2021-10-10T00:00:00"/>
    <n v="12237"/>
  </r>
  <r>
    <n v="81"/>
    <n v="27589"/>
    <s v="ראש העין"/>
    <s v="אנה פרנק 9"/>
    <x v="43"/>
    <s v="עמיחי צור"/>
    <d v="2016-02-10T00:00:00"/>
    <d v="2022-09-10T00:00:00"/>
    <n v="13675"/>
  </r>
  <r>
    <n v="82"/>
    <n v="63438"/>
    <s v="רמת גן"/>
    <s v="רש&quot;י 2"/>
    <x v="47"/>
    <s v="אחיה ממן"/>
    <d v="2018-10-10T00:00:00"/>
    <d v="2022-09-10T00:00:00"/>
    <n v="12129"/>
  </r>
  <r>
    <n v="83"/>
    <n v="51527"/>
    <s v="רמת השרון"/>
    <s v="רוטשילד 11"/>
    <x v="47"/>
    <s v="נטע רקח"/>
    <d v="2017-02-10T00:00:00"/>
    <d v="2021-07-10T00:00:00"/>
    <n v="14372"/>
  </r>
  <r>
    <n v="84"/>
    <n v="28855"/>
    <s v="נהריה"/>
    <s v="טשרניחובסקי 50"/>
    <x v="47"/>
    <s v="עודד ברנוביץ"/>
    <d v="2018-09-10T00:00:00"/>
    <d v="2022-12-10T00:00:00"/>
    <n v="16731"/>
  </r>
  <r>
    <n v="85"/>
    <n v="52487"/>
    <s v="רמת גן"/>
    <s v="שמעון 24"/>
    <x v="47"/>
    <s v="איילת מייסון"/>
    <d v="2019-10-10T00:00:00"/>
    <d v="2021-10-10T00:00:00"/>
    <n v="15525"/>
  </r>
  <r>
    <n v="86"/>
    <n v="83557"/>
    <s v="עפולה"/>
    <s v="מח&quot;ל 6"/>
    <x v="48"/>
    <s v="נעמי ברהנולץ"/>
    <d v="2018-08-10T00:00:00"/>
    <d v="2021-06-10T00:00:00"/>
    <n v="15622"/>
  </r>
  <r>
    <n v="87"/>
    <n v="91815"/>
    <s v="בני ברק"/>
    <s v="הגורן 3"/>
    <x v="48"/>
    <s v="הדר ספיר"/>
    <d v="2016-06-10T00:00:00"/>
    <d v="2022-09-10T00:00:00"/>
    <n v="9725"/>
  </r>
  <r>
    <n v="88"/>
    <n v="74874"/>
    <s v="זכרון יעקב"/>
    <s v="יצחק שמיר 26"/>
    <x v="49"/>
    <s v="שושי נגר"/>
    <d v="2019-12-10T00:00:00"/>
    <d v="2021-02-10T00:00:00"/>
    <n v="14290"/>
  </r>
  <r>
    <n v="89"/>
    <n v="28704"/>
    <s v="נתיבות"/>
    <s v="בן עזאי 1"/>
    <x v="49"/>
    <s v="אירית מועלמי"/>
    <d v="2016-06-10T00:00:00"/>
    <d v="2022-02-10T00:00:00"/>
    <n v="11517"/>
  </r>
  <r>
    <n v="90"/>
    <n v="74647"/>
    <s v="נהריה"/>
    <s v="מאיר אריאל 66"/>
    <x v="50"/>
    <s v="אליסף פכלר"/>
    <d v="2016-05-10T00:00:00"/>
    <d v="2022-04-10T00:00:00"/>
    <n v="17409"/>
  </r>
  <r>
    <n v="91"/>
    <n v="63789"/>
    <s v="עפולה"/>
    <s v="ראובן 49"/>
    <x v="50"/>
    <s v="דביר פרץ"/>
    <d v="2017-10-07T00:00:00"/>
    <d v="2021-10-01T00:00:00"/>
    <n v="137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AE444-7FF8-49E2-9543-7780988F3D52}" name="PivotTable7" cacheId="1" applyNumberFormats="0" applyBorderFormats="0" applyFontFormats="0" applyPatternFormats="0" applyAlignmentFormats="0" applyWidthHeightFormats="1" dataCaption="ערכים" updatedVersion="7" minRefreshableVersion="3" useAutoFormatting="1" itemPrintTitles="1" createdVersion="7" indent="0" outline="1" outlineData="1" multipleFieldFilters="0" chartFormat="1">
  <location ref="A3:F10" firstHeaderRow="1" firstDataRow="2" firstDataCol="1"/>
  <pivotFields count="13">
    <pivotField axis="axisRow"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numFmtId="165" showAll="0"/>
    <pivotField showAll="0"/>
    <pivotField numFmtId="165" showAll="0"/>
    <pivotField showAll="0"/>
    <pivotField dataField="1" numFmtId="165" showAll="0"/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10"/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9"/>
  </colFields>
  <colItems count="5">
    <i>
      <x v="1"/>
    </i>
    <i>
      <x v="2"/>
    </i>
    <i>
      <x v="3"/>
    </i>
    <i>
      <x v="4"/>
    </i>
    <i t="grand">
      <x/>
    </i>
  </colItems>
  <dataFields count="1">
    <dataField name="סכום של דמי שכירות" fld="8" baseField="0" baseItem="0" numFmtId="171"/>
  </dataFields>
  <formats count="9">
    <format dxfId="179">
      <pivotArea outline="0" collapsedLevelsAreSubtotals="1" fieldPosition="0"/>
    </format>
    <format dxfId="178">
      <pivotArea collapsedLevelsAreSubtotals="1" fieldPosition="0">
        <references count="1">
          <reference field="10" count="1">
            <x v="1"/>
          </reference>
        </references>
      </pivotArea>
    </format>
    <format dxfId="177">
      <pivotArea dataOnly="0" labelOnly="1" fieldPosition="0">
        <references count="1">
          <reference field="10" count="1">
            <x v="1"/>
          </reference>
        </references>
      </pivotArea>
    </format>
    <format dxfId="176">
      <pivotArea collapsedLevelsAreSubtotals="1" fieldPosition="0">
        <references count="1">
          <reference field="10" count="1">
            <x v="2"/>
          </reference>
        </references>
      </pivotArea>
    </format>
    <format dxfId="175">
      <pivotArea dataOnly="0" labelOnly="1" fieldPosition="0">
        <references count="1">
          <reference field="10" count="1">
            <x v="2"/>
          </reference>
        </references>
      </pivotArea>
    </format>
    <format dxfId="174">
      <pivotArea collapsedLevelsAreSubtotals="1" fieldPosition="0">
        <references count="1">
          <reference field="10" count="1">
            <x v="3"/>
          </reference>
        </references>
      </pivotArea>
    </format>
    <format dxfId="173">
      <pivotArea collapsedLevelsAreSubtotals="1" fieldPosition="0">
        <references count="1">
          <reference field="10" count="1">
            <x v="4"/>
          </reference>
        </references>
      </pivotArea>
    </format>
    <format dxfId="172">
      <pivotArea collapsedLevelsAreSubtotals="1" fieldPosition="0">
        <references count="1">
          <reference field="10" count="1">
            <x v="5"/>
          </reference>
        </references>
      </pivotArea>
    </format>
    <format dxfId="171">
      <pivotArea dataOnly="0" labelOnly="1" fieldPosition="0">
        <references count="1">
          <reference field="10" count="3">
            <x v="3"/>
            <x v="4"/>
            <x v="5"/>
          </reference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F30965-0A32-4AED-A533-635BB37A5F67}" name="PivotTable5" cacheId="1" applyNumberFormats="0" applyBorderFormats="0" applyFontFormats="0" applyPatternFormats="0" applyAlignmentFormats="0" applyWidthHeightFormats="1" dataCaption="ערכים" updatedVersion="7" minRefreshableVersion="3" useAutoFormatting="1" itemPrintTitles="1" createdVersion="7" indent="0" outline="1" outlineData="1" multipleFieldFilters="0">
  <location ref="A3:B9" firstHeaderRow="1" firstDataRow="1" firstDataCol="1"/>
  <pivotFields count="13">
    <pivotField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numFmtId="165" showAll="0"/>
    <pivotField showAll="0"/>
    <pivotField numFmtId="165" showAll="0"/>
    <pivotField showAll="0"/>
    <pivotField numFmtId="165" showAll="0"/>
    <pivotField showAll="0" defaultSubtota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1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ספירה של עיר" fld="2" subtotal="count" baseField="0" baseItem="0"/>
  </dataFields>
  <formats count="4">
    <format dxfId="170">
      <pivotArea dataOnly="0" fieldPosition="0">
        <references count="1">
          <reference field="10" count="1">
            <x v="1"/>
          </reference>
        </references>
      </pivotArea>
    </format>
    <format dxfId="169">
      <pivotArea dataOnly="0" fieldPosition="0">
        <references count="1">
          <reference field="10" count="1">
            <x v="2"/>
          </reference>
        </references>
      </pivotArea>
    </format>
    <format dxfId="168">
      <pivotArea collapsedLevelsAreSubtotals="1" fieldPosition="0">
        <references count="1">
          <reference field="10" count="3">
            <x v="3"/>
            <x v="4"/>
            <x v="5"/>
          </reference>
        </references>
      </pivotArea>
    </format>
    <format dxfId="167">
      <pivotArea dataOnly="0" labelOnly="1" fieldPosition="0">
        <references count="1">
          <reference field="10" count="3"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EE0B60-6A6D-4519-9EAA-4A5366C896AF}" name="PivotTable6" cacheId="1" applyNumberFormats="0" applyBorderFormats="0" applyFontFormats="0" applyPatternFormats="0" applyAlignmentFormats="0" applyWidthHeightFormats="1" dataCaption="ערכים" updatedVersion="7" minRefreshableVersion="3" useAutoFormatting="1" itemPrintTitles="1" createdVersion="7" indent="0" outline="1" outlineData="1" multipleFieldFilters="0">
  <location ref="A3:D9" firstHeaderRow="0" firstDataRow="1" firstDataCol="1"/>
  <pivotFields count="13">
    <pivotField numFmtId="15" showAll="0"/>
    <pivotField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dataField="1" numFmtId="165" showAll="0"/>
    <pivotField showAll="0"/>
    <pivotField dataField="1" numFmtId="165" showAll="0"/>
    <pivotField showAll="0"/>
    <pivotField dataField="1" numFmtId="165" showAll="0"/>
    <pivotField showAll="0" defaultSubtota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10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סכום של דמי שכירות" fld="8" baseField="0" baseItem="0"/>
    <dataField name="סכום של הוצאה חודשית נלוות" fld="4" baseField="0" baseItem="0"/>
    <dataField name="סכום של דמי ניהול" fld="6" baseField="0" baseItem="0"/>
  </dataFields>
  <formats count="7">
    <format dxfId="166">
      <pivotArea outline="0" collapsedLevelsAreSubtotals="1" fieldPosition="0"/>
    </format>
    <format dxfId="165">
      <pivotArea collapsedLevelsAreSubtotals="1" fieldPosition="0">
        <references count="1">
          <reference field="10" count="1">
            <x v="1"/>
          </reference>
        </references>
      </pivotArea>
    </format>
    <format dxfId="164">
      <pivotArea dataOnly="0" labelOnly="1" fieldPosition="0">
        <references count="1">
          <reference field="10" count="1">
            <x v="1"/>
          </reference>
        </references>
      </pivotArea>
    </format>
    <format dxfId="163">
      <pivotArea collapsedLevelsAreSubtotals="1" fieldPosition="0">
        <references count="1">
          <reference field="10" count="1">
            <x v="2"/>
          </reference>
        </references>
      </pivotArea>
    </format>
    <format dxfId="162">
      <pivotArea dataOnly="0" labelOnly="1" fieldPosition="0">
        <references count="1">
          <reference field="10" count="1">
            <x v="2"/>
          </reference>
        </references>
      </pivotArea>
    </format>
    <format dxfId="161">
      <pivotArea collapsedLevelsAreSubtotals="1" fieldPosition="0">
        <references count="1">
          <reference field="10" count="3">
            <x v="3"/>
            <x v="4"/>
            <x v="5"/>
          </reference>
        </references>
      </pivotArea>
    </format>
    <format dxfId="160">
      <pivotArea dataOnly="0" labelOnly="1" fieldPosition="0">
        <references count="1">
          <reference field="10" count="3"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7D969C-4661-4CDB-9A47-73A3B5A11106}" name="PivotTable3" cacheId="2" applyNumberFormats="0" applyBorderFormats="0" applyFontFormats="0" applyPatternFormats="0" applyAlignmentFormats="0" applyWidthHeightFormats="1" dataCaption="ערכים" updatedVersion="7" minRefreshableVersion="3" useAutoFormatting="1" itemPrintTitles="1" createdVersion="7" indent="0" outline="1" outlineData="1" multipleFieldFilters="0" chartFormat="1">
  <location ref="A3:B7" firstHeaderRow="1" firstDataRow="1" firstDataCol="1"/>
  <pivotFields count="9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dataField="1" showAl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numFmtId="165" showAll="0"/>
    <pivotField numFmtId="165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ספירה של עיר" fld="5" subtotal="count" baseField="0" baseItem="0"/>
  </dataFields>
  <formats count="2">
    <format dxfId="159">
      <pivotArea collapsedLevelsAreSubtotals="1" fieldPosition="0">
        <references count="1">
          <reference field="4" count="0"/>
        </references>
      </pivotArea>
    </format>
    <format dxfId="158">
      <pivotArea dataOnly="0" labelOnly="1" fieldPosition="0">
        <references count="1">
          <reference field="4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AB572E-8701-4E53-A81C-5FF1A9D290AC}" name="PivotTable20" cacheId="3" applyNumberFormats="0" applyBorderFormats="0" applyFontFormats="0" applyPatternFormats="0" applyAlignmentFormats="0" applyWidthHeightFormats="1" dataCaption="ערכים" updatedVersion="7" minRefreshableVersion="3" useAutoFormatting="1" itemPrintTitles="1" createdVersion="7" indent="0" outline="1" outlineData="1" multipleFieldFilters="0" chartFormat="1">
  <location ref="A3:B55" firstHeaderRow="1" firstDataRow="1" firstDataCol="1"/>
  <pivotFields count="9">
    <pivotField showAll="0"/>
    <pivotField showAll="0"/>
    <pivotField dataField="1" showAll="0"/>
    <pivotField showAll="0"/>
    <pivotField axis="axisRow" showAll="0">
      <items count="52">
        <item x="8"/>
        <item x="37"/>
        <item x="29"/>
        <item x="13"/>
        <item x="25"/>
        <item x="23"/>
        <item x="28"/>
        <item x="35"/>
        <item x="19"/>
        <item x="0"/>
        <item x="16"/>
        <item x="48"/>
        <item x="38"/>
        <item x="17"/>
        <item x="27"/>
        <item x="3"/>
        <item x="26"/>
        <item x="49"/>
        <item x="9"/>
        <item x="47"/>
        <item x="42"/>
        <item x="15"/>
        <item x="5"/>
        <item x="31"/>
        <item x="22"/>
        <item x="41"/>
        <item x="7"/>
        <item x="10"/>
        <item x="40"/>
        <item x="20"/>
        <item x="43"/>
        <item x="2"/>
        <item x="14"/>
        <item x="30"/>
        <item x="24"/>
        <item x="39"/>
        <item x="32"/>
        <item x="34"/>
        <item x="36"/>
        <item x="4"/>
        <item x="1"/>
        <item x="6"/>
        <item x="46"/>
        <item x="45"/>
        <item x="12"/>
        <item x="33"/>
        <item x="18"/>
        <item x="50"/>
        <item x="11"/>
        <item x="21"/>
        <item x="44"/>
        <item t="default"/>
      </items>
    </pivotField>
    <pivotField showAll="0"/>
    <pivotField numFmtId="15" showAll="0"/>
    <pivotField numFmtId="15" showAll="0"/>
    <pivotField numFmtId="167" showAll="0"/>
  </pivotFields>
  <rowFields count="1"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Items count="1">
    <i/>
  </colItems>
  <dataFields count="1">
    <dataField name="ספירה של עיר הנכס" fld="2" subtotal="count" baseField="0" baseItem="0"/>
  </dataFields>
  <formats count="11">
    <format dxfId="157">
      <pivotArea collapsedLevelsAreSubtotals="1" fieldPosition="0">
        <references count="1">
          <reference field="4" count="1">
            <x v="0"/>
          </reference>
        </references>
      </pivotArea>
    </format>
    <format dxfId="156">
      <pivotArea dataOnly="0" labelOnly="1" fieldPosition="0">
        <references count="1">
          <reference field="4" count="1">
            <x v="0"/>
          </reference>
        </references>
      </pivotArea>
    </format>
    <format dxfId="155">
      <pivotArea collapsedLevelsAreSubtotals="1" fieldPosition="0">
        <references count="1">
          <reference field="4" count="1">
            <x v="1"/>
          </reference>
        </references>
      </pivotArea>
    </format>
    <format dxfId="154">
      <pivotArea dataOnly="0" labelOnly="1" fieldPosition="0">
        <references count="1">
          <reference field="4" count="1">
            <x v="1"/>
          </reference>
        </references>
      </pivotArea>
    </format>
    <format dxfId="153">
      <pivotArea collapsedLevelsAreSubtotals="1" fieldPosition="0">
        <references count="1">
          <reference field="4" count="4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52">
      <pivotArea dataOnly="0" labelOnly="1" fieldPosition="0">
        <references count="1">
          <reference field="4" count="4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51">
      <pivotArea collapsedLevelsAreSubtotals="1" fieldPosition="0">
        <references count="1">
          <reference field="4" count="1">
            <x v="0"/>
          </reference>
        </references>
      </pivotArea>
    </format>
    <format dxfId="150">
      <pivotArea dataOnly="0" labelOnly="1" fieldPosition="0">
        <references count="1">
          <reference field="4" count="1">
            <x v="0"/>
          </reference>
        </references>
      </pivotArea>
    </format>
    <format dxfId="149">
      <pivotArea dataOnly="0" fieldPosition="0">
        <references count="1">
          <reference field="4" count="1">
            <x v="1"/>
          </reference>
        </references>
      </pivotArea>
    </format>
    <format dxfId="148">
      <pivotArea collapsedLevelsAreSubtotals="1" fieldPosition="0">
        <references count="1">
          <reference field="4" count="4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47">
      <pivotArea dataOnly="0" labelOnly="1" fieldPosition="0">
        <references count="1">
          <reference field="4" count="4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8F80F3-2536-4396-9C27-8F14B658C25F}" name="PivotTable1" cacheId="0" applyNumberFormats="0" applyBorderFormats="0" applyFontFormats="0" applyPatternFormats="0" applyAlignmentFormats="0" applyWidthHeightFormats="1" dataCaption="Values" grandTotalCaption="סה&quot;כ" updatedVersion="6" minRefreshableVersion="3" useAutoFormatting="1" itemPrintTitles="1" createdVersion="6" indent="0" outline="1" outlineData="1" multipleFieldFilters="0" rowHeaderCaption="שנה-רבעון">
  <location ref="A1:E25" firstHeaderRow="0" firstDataRow="1" firstDataCol="1"/>
  <pivotFields count="11">
    <pivotField numFmtId="15" showAll="0"/>
    <pivotField numFmtId="15" showAll="0"/>
    <pivotField dataField="1" showAll="0"/>
    <pivotField showAll="0"/>
    <pivotField dataField="1" numFmtId="165" showAll="0"/>
    <pivotField showAll="0"/>
    <pivotField dataField="1" numFmtId="165" showAll="0"/>
    <pivotField showAll="0"/>
    <pivotField dataField="1" numFmtId="165" showAll="0"/>
    <pivotField axis="axisRow" showAll="0" defaultSubtotal="0">
      <items count="6">
        <item x="0"/>
        <item n="רבעון 1" x="1"/>
        <item n="רבעון 2" x="2"/>
        <item n="רבעון 3" x="3"/>
        <item n="רבעון 4" x="4"/>
        <item x="5"/>
      </items>
    </pivotField>
    <pivotField axis="axisRow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2">
    <field x="10"/>
    <field x="9"/>
  </rowFields>
  <rowItems count="24">
    <i>
      <x v="1"/>
    </i>
    <i r="1"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 r="1">
      <x v="3"/>
    </i>
    <i r="1">
      <x v="4"/>
    </i>
    <i>
      <x v="5"/>
    </i>
    <i r="1">
      <x v="2"/>
    </i>
    <i r="1"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דמי שכירות" fld="8" baseField="0" baseItem="0"/>
    <dataField name="דמי הניהול" fld="6" baseField="0" baseItem="0"/>
    <dataField name=" הוצאה חודשית נלוות" fld="4" baseField="0" baseItem="0"/>
    <dataField name="מס' יחידות מושכרות" fld="2" subtotal="count" baseField="0" baseItem="0"/>
  </dataFields>
  <formats count="147">
    <format dxfId="146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145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2"/>
          </reference>
        </references>
      </pivotArea>
    </format>
    <format dxfId="144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143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3"/>
          </reference>
        </references>
      </pivotArea>
    </format>
    <format dxfId="142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141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4"/>
          </reference>
        </references>
      </pivotArea>
    </format>
    <format dxfId="140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139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5"/>
          </reference>
        </references>
      </pivotArea>
    </format>
    <format dxfId="138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137">
      <pivotArea field="10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36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135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2"/>
          </reference>
        </references>
      </pivotArea>
    </format>
    <format dxfId="134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133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3"/>
          </reference>
        </references>
      </pivotArea>
    </format>
    <format dxfId="132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131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4"/>
          </reference>
        </references>
      </pivotArea>
    </format>
    <format dxfId="130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129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5"/>
          </reference>
        </references>
      </pivotArea>
    </format>
    <format dxfId="128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127">
      <pivotArea field="10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26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125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2"/>
          </reference>
        </references>
      </pivotArea>
    </format>
    <format dxfId="124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123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3"/>
          </reference>
        </references>
      </pivotArea>
    </format>
    <format dxfId="122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121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4"/>
          </reference>
        </references>
      </pivotArea>
    </format>
    <format dxfId="120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119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5"/>
          </reference>
        </references>
      </pivotArea>
    </format>
    <format dxfId="118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117">
      <pivotArea field="10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16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115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2"/>
          </reference>
        </references>
      </pivotArea>
    </format>
    <format dxfId="114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113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3"/>
          </reference>
        </references>
      </pivotArea>
    </format>
    <format dxfId="112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111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4"/>
          </reference>
        </references>
      </pivotArea>
    </format>
    <format dxfId="110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109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5"/>
          </reference>
        </references>
      </pivotArea>
    </format>
    <format dxfId="108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107">
      <pivotArea field="10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06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105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2"/>
          </reference>
        </references>
      </pivotArea>
    </format>
    <format dxfId="104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103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3"/>
          </reference>
        </references>
      </pivotArea>
    </format>
    <format dxfId="102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101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4"/>
          </reference>
        </references>
      </pivotArea>
    </format>
    <format dxfId="100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99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5"/>
          </reference>
        </references>
      </pivotArea>
    </format>
    <format dxfId="98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97">
      <pivotArea field="10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96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95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2"/>
          </reference>
        </references>
      </pivotArea>
    </format>
    <format dxfId="94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93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3"/>
          </reference>
        </references>
      </pivotArea>
    </format>
    <format dxfId="92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91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4"/>
          </reference>
        </references>
      </pivotArea>
    </format>
    <format dxfId="90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89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10" count="1">
            <x v="5"/>
          </reference>
        </references>
      </pivotArea>
    </format>
    <format dxfId="88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87">
      <pivotArea field="10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86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85">
      <pivotArea collapsedLevelsAreSubtotals="1" fieldPosition="0">
        <references count="2">
          <reference field="4294967294" count="1" selected="0">
            <x v="3"/>
          </reference>
          <reference field="10" count="1">
            <x v="2"/>
          </reference>
        </references>
      </pivotArea>
    </format>
    <format dxfId="84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83">
      <pivotArea collapsedLevelsAreSubtotals="1" fieldPosition="0">
        <references count="2">
          <reference field="4294967294" count="1" selected="0">
            <x v="3"/>
          </reference>
          <reference field="10" count="1">
            <x v="3"/>
          </reference>
        </references>
      </pivotArea>
    </format>
    <format dxfId="82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81">
      <pivotArea collapsedLevelsAreSubtotals="1" fieldPosition="0">
        <references count="2">
          <reference field="4294967294" count="1" selected="0">
            <x v="3"/>
          </reference>
          <reference field="10" count="1">
            <x v="4"/>
          </reference>
        </references>
      </pivotArea>
    </format>
    <format dxfId="80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79">
      <pivotArea collapsedLevelsAreSubtotals="1" fieldPosition="0">
        <references count="2">
          <reference field="4294967294" count="1" selected="0">
            <x v="3"/>
          </reference>
          <reference field="10" count="1">
            <x v="5"/>
          </reference>
        </references>
      </pivotArea>
    </format>
    <format dxfId="78">
      <pivotArea collapsedLevelsAreSubtotals="1" fieldPosition="0">
        <references count="3">
          <reference field="4294967294" count="1" selected="0">
            <x v="3"/>
          </reference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77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76">
      <pivotArea collapsedLevelsAreSubtotals="1" fieldPosition="0">
        <references count="2">
          <reference field="4294967294" count="1" selected="0">
            <x v="3"/>
          </reference>
          <reference field="10" count="1">
            <x v="2"/>
          </reference>
        </references>
      </pivotArea>
    </format>
    <format dxfId="75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74">
      <pivotArea collapsedLevelsAreSubtotals="1" fieldPosition="0">
        <references count="2">
          <reference field="4294967294" count="1" selected="0">
            <x v="3"/>
          </reference>
          <reference field="10" count="1">
            <x v="3"/>
          </reference>
        </references>
      </pivotArea>
    </format>
    <format dxfId="73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72">
      <pivotArea collapsedLevelsAreSubtotals="1" fieldPosition="0">
        <references count="2">
          <reference field="4294967294" count="1" selected="0">
            <x v="3"/>
          </reference>
          <reference field="10" count="1">
            <x v="4"/>
          </reference>
        </references>
      </pivotArea>
    </format>
    <format dxfId="71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3"/>
          </reference>
          <reference field="10" count="1">
            <x v="5"/>
          </reference>
        </references>
      </pivotArea>
    </format>
    <format dxfId="69">
      <pivotArea collapsedLevelsAreSubtotals="1" fieldPosition="0">
        <references count="3">
          <reference field="4294967294" count="1" selected="0">
            <x v="3"/>
          </reference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68">
      <pivotArea field="10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67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66">
      <pivotArea collapsedLevelsAreSubtotals="1" fieldPosition="0">
        <references count="2">
          <reference field="4294967294" count="1" selected="0">
            <x v="3"/>
          </reference>
          <reference field="10" count="1">
            <x v="2"/>
          </reference>
        </references>
      </pivotArea>
    </format>
    <format dxfId="65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64">
      <pivotArea collapsedLevelsAreSubtotals="1" fieldPosition="0">
        <references count="2">
          <reference field="4294967294" count="1" selected="0">
            <x v="3"/>
          </reference>
          <reference field="10" count="1">
            <x v="3"/>
          </reference>
        </references>
      </pivotArea>
    </format>
    <format dxfId="63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3"/>
          </reference>
          <reference field="10" count="1">
            <x v="4"/>
          </reference>
        </references>
      </pivotArea>
    </format>
    <format dxfId="61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60">
      <pivotArea collapsedLevelsAreSubtotals="1" fieldPosition="0">
        <references count="2">
          <reference field="4294967294" count="1" selected="0">
            <x v="3"/>
          </reference>
          <reference field="10" count="1">
            <x v="5"/>
          </reference>
        </references>
      </pivotArea>
    </format>
    <format dxfId="59">
      <pivotArea collapsedLevelsAreSubtotals="1" fieldPosition="0">
        <references count="3">
          <reference field="4294967294" count="1" selected="0">
            <x v="3"/>
          </reference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58">
      <pivotArea field="10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57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56">
      <pivotArea collapsedLevelsAreSubtotals="1" fieldPosition="0">
        <references count="2">
          <reference field="4294967294" count="1" selected="0">
            <x v="3"/>
          </reference>
          <reference field="10" count="1">
            <x v="2"/>
          </reference>
        </references>
      </pivotArea>
    </format>
    <format dxfId="55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54">
      <pivotArea collapsedLevelsAreSubtotals="1" fieldPosition="0">
        <references count="2">
          <reference field="4294967294" count="1" selected="0">
            <x v="3"/>
          </reference>
          <reference field="10" count="1">
            <x v="3"/>
          </reference>
        </references>
      </pivotArea>
    </format>
    <format dxfId="53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3"/>
          </reference>
          <reference field="10" count="1">
            <x v="4"/>
          </reference>
        </references>
      </pivotArea>
    </format>
    <format dxfId="51">
      <pivotArea collapsedLevelsAreSubtotals="1" fieldPosition="0">
        <references count="3">
          <reference field="4294967294" count="1" selected="0">
            <x v="3"/>
          </reference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3"/>
          </reference>
          <reference field="10" count="1">
            <x v="5"/>
          </reference>
        </references>
      </pivotArea>
    </format>
    <format dxfId="49">
      <pivotArea collapsedLevelsAreSubtotals="1" fieldPosition="0">
        <references count="3">
          <reference field="4294967294" count="1" selected="0">
            <x v="3"/>
          </reference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48">
      <pivotArea field="10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4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5">
      <pivotArea collapsedLevelsAreSubtotals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44">
      <pivotArea collapsedLevelsAreSubtotals="1" fieldPosition="0">
        <references count="1">
          <reference field="10" count="1">
            <x v="2"/>
          </reference>
        </references>
      </pivotArea>
    </format>
    <format dxfId="43">
      <pivotArea collapsedLevelsAreSubtotals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42">
      <pivotArea collapsedLevelsAreSubtotals="1" fieldPosition="0">
        <references count="1">
          <reference field="10" count="1">
            <x v="3"/>
          </reference>
        </references>
      </pivotArea>
    </format>
    <format dxfId="41">
      <pivotArea collapsedLevelsAreSubtotals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40">
      <pivotArea collapsedLevelsAreSubtotals="1" fieldPosition="0">
        <references count="1">
          <reference field="10" count="1">
            <x v="4"/>
          </reference>
        </references>
      </pivotArea>
    </format>
    <format dxfId="39">
      <pivotArea collapsedLevelsAreSubtotals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38">
      <pivotArea collapsedLevelsAreSubtotals="1" fieldPosition="0">
        <references count="1">
          <reference field="10" count="1">
            <x v="5"/>
          </reference>
        </references>
      </pivotArea>
    </format>
    <format dxfId="37">
      <pivotArea collapsedLevelsAreSubtotals="1" fieldPosition="0">
        <references count="2"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36">
      <pivotArea dataOnly="0" labelOnly="1" fieldPosition="0">
        <references count="1">
          <reference field="10" count="4">
            <x v="2"/>
            <x v="3"/>
            <x v="4"/>
            <x v="5"/>
          </reference>
        </references>
      </pivotArea>
    </format>
    <format dxfId="35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34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33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32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31">
      <pivotArea dataOnly="0" labelOnly="1" fieldPosition="0">
        <references count="2"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30">
      <pivotArea collapsedLevelsAreSubtotals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29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28">
      <pivotArea collapsedLevelsAreSubtotals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27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26">
      <pivotArea collapsedLevelsAreSubtotals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25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24">
      <pivotArea collapsedLevelsAreSubtotals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23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22">
      <pivotArea collapsedLevelsAreSubtotals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21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20">
      <pivotArea collapsedLevelsAreSubtotals="1" fieldPosition="0">
        <references count="2"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19">
      <pivotArea dataOnly="0" labelOnly="1" fieldPosition="0">
        <references count="2"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18">
      <pivotArea grandRow="1" outline="0" collapsedLevelsAreSubtotals="1" fieldPosition="0"/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0" type="button" dataOnly="0" labelOnly="1" outline="0" axis="axisRow" fieldPosition="0"/>
    </format>
    <format dxfId="10">
      <pivotArea dataOnly="0" labelOnly="1" fieldPosition="0">
        <references count="1">
          <reference field="10" count="5">
            <x v="1"/>
            <x v="2"/>
            <x v="3"/>
            <x v="4"/>
            <x v="5"/>
          </reference>
        </references>
      </pivotArea>
    </format>
    <format dxfId="9">
      <pivotArea dataOnly="0" labelOnly="1" grandRow="1" outline="0" fieldPosition="0"/>
    </format>
    <format dxfId="8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1"/>
          </reference>
        </references>
      </pivotArea>
    </format>
    <format dxfId="7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2"/>
          </reference>
        </references>
      </pivotArea>
    </format>
    <format dxfId="6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3"/>
          </reference>
        </references>
      </pivotArea>
    </format>
    <format dxfId="5">
      <pivotArea dataOnly="0" labelOnly="1" fieldPosition="0">
        <references count="2">
          <reference field="9" count="4">
            <x v="1"/>
            <x v="2"/>
            <x v="3"/>
            <x v="4"/>
          </reference>
          <reference field="10" count="1" selected="0">
            <x v="4"/>
          </reference>
        </references>
      </pivotArea>
    </format>
    <format dxfId="4">
      <pivotArea dataOnly="0" labelOnly="1" fieldPosition="0">
        <references count="2">
          <reference field="9" count="2">
            <x v="2"/>
            <x v="4"/>
          </reference>
          <reference field="10" count="1" selected="0">
            <x v="5"/>
          </reference>
        </references>
      </pivotArea>
    </format>
    <format dxfId="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">
      <pivotArea grandRow="1" outline="0" collapsedLevelsAreSubtotals="1" fieldPosition="0"/>
    </format>
    <format dxfId="1">
      <pivotArea dataOnly="0" labelOnly="1" grandRow="1" outline="0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7F328D-4A22-4FA7-A89A-10D6B68C3497}" name="Table28" displayName="Table28" ref="A1:I101" totalsRowShown="0" headerRowDxfId="252" dataDxfId="250" headerRowBorderDxfId="251" tableBorderDxfId="249">
  <autoFilter ref="A1:I101" xr:uid="{047F328D-4A22-4FA7-A89A-10D6B68C3497}"/>
  <sortState xmlns:xlrd2="http://schemas.microsoft.com/office/spreadsheetml/2017/richdata2" ref="A2:I100">
    <sortCondition ref="F1:F100"/>
  </sortState>
  <tableColumns count="9">
    <tableColumn id="1" xr3:uid="{6D22C802-EA80-4E4F-AB63-8DC867C366AE}" name="מספר סידורי" dataDxfId="248">
      <calculatedColumnFormula>ROW()-1</calculatedColumnFormula>
    </tableColumn>
    <tableColumn id="3" xr3:uid="{7A32316C-AB38-42F8-AA5D-29B14F70D605}" name="מספר זיהוי" dataDxfId="247"/>
    <tableColumn id="4" xr3:uid="{5B9CFA50-A6BF-44A2-AC39-B9A9B40D68CF}" name="סוג הנכס" dataDxfId="246"/>
    <tableColumn id="12" xr3:uid="{D24C05CF-C1A7-4862-BE81-B9053615BA5F}" name="תאריך רכישה" dataDxfId="245"/>
    <tableColumn id="8" xr3:uid="{88B8F8FB-10B7-46B4-B459-04A41CAC92FC}" name="אזור" dataDxfId="244"/>
    <tableColumn id="6" xr3:uid="{4F8A5FB5-1FAE-4C4F-BA80-419D909BB14D}" name="עיר" dataDxfId="243"/>
    <tableColumn id="5" xr3:uid="{71F37103-D43B-499C-9608-F800CE2954E4}" name="רחוב" dataDxfId="242"/>
    <tableColumn id="10" xr3:uid="{CB4AC869-F5CC-4CF7-A37A-1031E65215F1}" name="הוצאה חודשית" dataDxfId="241" dataCellStyle="Currency"/>
    <tableColumn id="11" xr3:uid="{A06403B0-CA2E-43A0-9EAC-0233DEF8273D}" name="שווי הנכס" dataDxfId="240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161C5E-5004-4F27-A7F3-1EAB7D00B922}" name="Table1" displayName="Table1" ref="A1:I54" totalsRowShown="0" headerRowDxfId="239" dataDxfId="237" headerRowBorderDxfId="238" tableBorderDxfId="236">
  <autoFilter ref="A1:I54" xr:uid="{EB161C5E-5004-4F27-A7F3-1EAB7D00B922}"/>
  <tableColumns count="9">
    <tableColumn id="1" xr3:uid="{FA6805EF-8670-47AB-A53B-9B07B517CCD3}" name="מספר סידורי" dataDxfId="235"/>
    <tableColumn id="2" xr3:uid="{854CB416-65D2-49E8-8819-AC761A274FE1}" name="שם המנהל" dataDxfId="234" dataCellStyle="Normal"/>
    <tableColumn id="3" xr3:uid="{DABA7D10-A09E-41E9-88DD-78375C58FD51}" name="טלפון" dataDxfId="233" dataCellStyle="Normal"/>
    <tableColumn id="4" xr3:uid="{19B62B0F-E69F-4455-A256-8A2D84E07E6F}" name="מייל" dataDxfId="232"/>
    <tableColumn id="5" xr3:uid="{76A48BD8-7CFB-41EF-8EAA-D1FD22EE1281}" name="עיר מגורים" dataDxfId="231" dataCellStyle="Normal"/>
    <tableColumn id="6" xr3:uid="{6302B9AF-EAC6-4794-A665-99511B9AAF27}" name="ת&quot;ז" dataDxfId="230" dataCellStyle="Normal"/>
    <tableColumn id="7" xr3:uid="{9BDEFF89-8065-4235-BA61-713D7F69D189}" name="תאריך לידה" dataDxfId="229" dataCellStyle="Normal"/>
    <tableColumn id="8" xr3:uid="{3E79BCE1-5A64-4604-86E5-9EA2822A64D6}" name="גיל" dataDxfId="228" dataCellStyle="Normal">
      <calculatedColumnFormula>DATEDIF(G2,TODAY(),"Y")</calculatedColumnFormula>
    </tableColumn>
    <tableColumn id="9" xr3:uid="{7E05C5DA-424E-41C5-AADA-FF5CB6F803B0}" name="דמי ניהול ליחידה" dataDxfId="227" dataCellStyle="Currency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2B273F-6411-4AA3-8A1E-598CD3B54DC4}" name="Table14" displayName="Table14" ref="A1:G91" totalsRowShown="0" headerRowDxfId="226" dataDxfId="224" headerRowBorderDxfId="225" tableBorderDxfId="223">
  <autoFilter ref="A1:G91" xr:uid="{F72B273F-6411-4AA3-8A1E-598CD3B54DC4}"/>
  <tableColumns count="7">
    <tableColumn id="1" xr3:uid="{9FD97705-0DDF-491F-9FC2-53FA9B202E5A}" name="מספר סידורי" dataDxfId="222"/>
    <tableColumn id="12" xr3:uid="{FA5D3B32-62BF-4D75-B7C0-31E8B329BA6A}" name="שם" dataDxfId="221"/>
    <tableColumn id="3" xr3:uid="{E3B9F365-4E30-4B99-A244-977A62DC2E25}" name="טלפון" dataDxfId="220" dataCellStyle="Normal"/>
    <tableColumn id="4" xr3:uid="{8F432EC5-4982-41A7-988C-6DB356527250}" name="מייל" dataDxfId="219" dataCellStyle="היפר-קישור"/>
    <tableColumn id="6" xr3:uid="{89E806A0-136F-49B8-99C1-8B520E55DC1D}" name="ת&quot;ז" dataDxfId="218" dataCellStyle="Normal"/>
    <tableColumn id="8" xr3:uid="{D0DA1CD1-807C-4FAC-8C0C-6B77D6EAA786}" name="גיל" dataDxfId="217" dataCellStyle="Normal">
      <calculatedColumnFormula>DATEDIF(G2,TODAY(),"Y")</calculatedColumnFormula>
    </tableColumn>
    <tableColumn id="7" xr3:uid="{87CED743-77C2-4DCE-991E-B6BE70AC7E50}" name="תאריך לידה" dataDxfId="216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2973383-682E-4192-BBAE-1E18C471C629}" name="Table4" displayName="Table4" ref="A1:I92" totalsRowShown="0" headerRowDxfId="215" dataDxfId="213" headerRowBorderDxfId="214" tableBorderDxfId="212" totalsRowBorderDxfId="211">
  <autoFilter ref="A1:I92" xr:uid="{42973383-682E-4192-BBAE-1E18C471C629}"/>
  <tableColumns count="9">
    <tableColumn id="1" xr3:uid="{188FCD11-AD90-4C74-A980-235C317F3698}" name="מספר סידורי" dataDxfId="210">
      <calculatedColumnFormula>ROW()-1</calculatedColumnFormula>
    </tableColumn>
    <tableColumn id="15" xr3:uid="{6B4031DA-A83C-4D46-B642-017C88C04303}" name="מספר חוזה" dataDxfId="209"/>
    <tableColumn id="2" xr3:uid="{C6346F73-F228-488E-9949-8429196E385A}" name="עיר הנכס" dataDxfId="208"/>
    <tableColumn id="3" xr3:uid="{CA689704-3FE6-42D5-A157-691E4B3BFC5A}" name="רחוב הנכס" dataDxfId="207"/>
    <tableColumn id="7" xr3:uid="{1BC35D61-267C-4374-B6F6-A7A5AF43126D}" name="שם המנהל" dataDxfId="206"/>
    <tableColumn id="10" xr3:uid="{2FDD1A9E-BC11-4182-B732-AC1FA089CA6C}" name="שם השוכר" dataDxfId="205"/>
    <tableColumn id="14" xr3:uid="{4C0626B6-9740-4ECD-B4EB-D26DB5AC89BF}" name="תחילת תאריך שכירות" dataDxfId="204"/>
    <tableColumn id="13" xr3:uid="{AC864676-8409-40BD-B2DB-9D4EFFE301A6}" name="סוף תאריך שכירות" dataDxfId="203"/>
    <tableColumn id="4" xr3:uid="{3C79590F-95EB-4242-A63A-A6042DF7A304}" name="דמי שכירות" dataDxfId="202"/>
  </tableColumns>
  <tableStyleInfo name="TableStyleMedium1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37CB52-377F-432D-B76D-07B5B8A35B95}" name="Table5" displayName="Table5" ref="A1:F10" totalsRowShown="0" headerRowDxfId="201" dataDxfId="200">
  <autoFilter ref="A1:F10" xr:uid="{FF37CB52-377F-432D-B76D-07B5B8A35B95}"/>
  <tableColumns count="6">
    <tableColumn id="1" xr3:uid="{9B3BD5A9-519C-4D5B-81DB-B939195C39FD}" name="מס סידורי" dataDxfId="199"/>
    <tableColumn id="6" xr3:uid="{229876D3-97F4-4580-B6D0-D20992AB070F}" name="מספר תזכורת" dataDxfId="198"/>
    <tableColumn id="3" xr3:uid="{AE674D27-DF36-4B6E-A001-46AD46A9AAD9}" name="תאריך" dataDxfId="197"/>
    <tableColumn id="4" xr3:uid="{54DDD93D-6339-479E-9C3A-CA28D54AFBB9}" name="שעה" dataDxfId="196"/>
    <tableColumn id="7" xr3:uid="{FFC08EE3-0D5B-4861-AD8B-69D4868F48B9}" name="מיקום" dataDxfId="195"/>
    <tableColumn id="5" xr3:uid="{AF225C7D-8C49-45A1-8F75-6E0C3CCA295E}" name="תיאור" dataDxfId="194"/>
  </tableColumns>
  <tableStyleInfo name="TableStyleMedium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19B1754-44A4-42FF-BE56-2BB9AA6D4F3A}" name="Table6" displayName="Table6" ref="A1:I92" totalsRowShown="0" headerRowDxfId="193" dataDxfId="191" headerRowBorderDxfId="192" tableBorderDxfId="190" totalsRowBorderDxfId="189">
  <autoFilter ref="A1:I92" xr:uid="{819B1754-44A4-42FF-BE56-2BB9AA6D4F3A}"/>
  <tableColumns count="9">
    <tableColumn id="9" xr3:uid="{3193C121-1349-4411-A327-9EC8CC0537B5}" name="תחילת תאריך שכירות" dataDxfId="188"/>
    <tableColumn id="8" xr3:uid="{B6ED712F-83F4-40C5-B426-9C80007CAED8}" name="סוף תאריך שכירות" dataDxfId="187"/>
    <tableColumn id="1" xr3:uid="{7D6CA64C-312B-490B-9962-5079BFC2B5E2}" name="עיר" dataDxfId="186" dataCellStyle="Currency"/>
    <tableColumn id="2" xr3:uid="{0552C236-C440-4547-BAC3-17E6CF656E06}" name="רחוב" dataDxfId="185"/>
    <tableColumn id="3" xr3:uid="{E8B47E60-8B44-45FC-A9E4-288FFD527B3D}" name="הוצאה חודשית נלוות" dataDxfId="184" dataCellStyle="Currency"/>
    <tableColumn id="4" xr3:uid="{789E8238-0289-4E9D-AA56-1E43786F1487}" name="שם המנהל" dataDxfId="183"/>
    <tableColumn id="5" xr3:uid="{45198FCF-4737-49A7-8C8C-560195B25334}" name="דמי ניהול" dataDxfId="182" dataCellStyle="Currency"/>
    <tableColumn id="6" xr3:uid="{52E9C61B-71CD-4CAB-9098-3E5DC383B105}" name="שם השוכר" dataDxfId="181"/>
    <tableColumn id="7" xr3:uid="{6A44C657-2404-4668-8E0C-62A1C93502AF}" name="דמי שכירות" dataDxfId="180" dataCellStyle="Currency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MOSHESH39@GMAIL.COM" TargetMode="External"/><Relationship Id="rId18" Type="http://schemas.openxmlformats.org/officeDocument/2006/relationships/hyperlink" Target="mailto:SHLOMI340@GMAIL.COM" TargetMode="External"/><Relationship Id="rId26" Type="http://schemas.openxmlformats.org/officeDocument/2006/relationships/hyperlink" Target="mailto:SADIANA47@GMAIL.COM" TargetMode="External"/><Relationship Id="rId39" Type="http://schemas.openxmlformats.org/officeDocument/2006/relationships/hyperlink" Target="mailto:NETANEL12@GMAIL.COM" TargetMode="External"/><Relationship Id="rId21" Type="http://schemas.openxmlformats.org/officeDocument/2006/relationships/hyperlink" Target="mailto:NAMAK88@GMAIL.COM" TargetMode="External"/><Relationship Id="rId34" Type="http://schemas.openxmlformats.org/officeDocument/2006/relationships/hyperlink" Target="mailto:HRAEL819@GMAIL.COM" TargetMode="External"/><Relationship Id="rId42" Type="http://schemas.openxmlformats.org/officeDocument/2006/relationships/hyperlink" Target="mailto:Y544@GMAIL.COM" TargetMode="External"/><Relationship Id="rId47" Type="http://schemas.openxmlformats.org/officeDocument/2006/relationships/hyperlink" Target="mailto:TZORIAL63@GMAIL.COM" TargetMode="External"/><Relationship Id="rId50" Type="http://schemas.openxmlformats.org/officeDocument/2006/relationships/hyperlink" Target="mailto:NATI753@GMAIL.COM" TargetMode="External"/><Relationship Id="rId55" Type="http://schemas.openxmlformats.org/officeDocument/2006/relationships/hyperlink" Target="mailto:BENYA64@GMAIL.COM" TargetMode="External"/><Relationship Id="rId7" Type="http://schemas.openxmlformats.org/officeDocument/2006/relationships/hyperlink" Target="mailto:ATIAS134@GMAIL.COM" TargetMode="External"/><Relationship Id="rId2" Type="http://schemas.openxmlformats.org/officeDocument/2006/relationships/hyperlink" Target="mailto:YOSI526@GMAIL.COM" TargetMode="External"/><Relationship Id="rId16" Type="http://schemas.openxmlformats.org/officeDocument/2006/relationships/hyperlink" Target="mailto:HAIM54@GMAIL.COM" TargetMode="External"/><Relationship Id="rId29" Type="http://schemas.openxmlformats.org/officeDocument/2006/relationships/hyperlink" Target="mailto:SHEMOEL2@GMAIL.COM" TargetMode="External"/><Relationship Id="rId11" Type="http://schemas.openxmlformats.org/officeDocument/2006/relationships/hyperlink" Target="mailto:DAVIDSIB49@GMAIL.COM" TargetMode="External"/><Relationship Id="rId24" Type="http://schemas.openxmlformats.org/officeDocument/2006/relationships/hyperlink" Target="mailto:SHIMRIT91@GMAIL.COM" TargetMode="External"/><Relationship Id="rId32" Type="http://schemas.openxmlformats.org/officeDocument/2006/relationships/hyperlink" Target="mailto:YOSEFB91@GMAIL.COM" TargetMode="External"/><Relationship Id="rId37" Type="http://schemas.openxmlformats.org/officeDocument/2006/relationships/hyperlink" Target="mailto:ARIEL238@GMAIL.COM" TargetMode="External"/><Relationship Id="rId40" Type="http://schemas.openxmlformats.org/officeDocument/2006/relationships/hyperlink" Target="mailto:AVRHAM09@GMAIL.COM" TargetMode="External"/><Relationship Id="rId45" Type="http://schemas.openxmlformats.org/officeDocument/2006/relationships/hyperlink" Target="mailto:ZAKRI777@GMAIL.COM" TargetMode="External"/><Relationship Id="rId53" Type="http://schemas.openxmlformats.org/officeDocument/2006/relationships/hyperlink" Target="mailto:ASHER88@GMAIL.COM" TargetMode="External"/><Relationship Id="rId5" Type="http://schemas.openxmlformats.org/officeDocument/2006/relationships/hyperlink" Target="mailto:DAVIDTR8@GMAIL.COM" TargetMode="External"/><Relationship Id="rId19" Type="http://schemas.openxmlformats.org/officeDocument/2006/relationships/hyperlink" Target="mailto:MEIR923@GMAIL.COM" TargetMode="External"/><Relationship Id="rId4" Type="http://schemas.openxmlformats.org/officeDocument/2006/relationships/hyperlink" Target="mailto:DANA794@GMAIL.COM" TargetMode="External"/><Relationship Id="rId9" Type="http://schemas.openxmlformats.org/officeDocument/2006/relationships/hyperlink" Target="mailto:DANA794@GMAIL.COM" TargetMode="External"/><Relationship Id="rId14" Type="http://schemas.openxmlformats.org/officeDocument/2006/relationships/hyperlink" Target="mailto:AVIVACH4@GMAIL.COM" TargetMode="External"/><Relationship Id="rId22" Type="http://schemas.openxmlformats.org/officeDocument/2006/relationships/hyperlink" Target="mailto:AHITOVGD@GMAIL.COM" TargetMode="External"/><Relationship Id="rId27" Type="http://schemas.openxmlformats.org/officeDocument/2006/relationships/hyperlink" Target="mailto:YAFITHA41@GMAIL.COM" TargetMode="External"/><Relationship Id="rId30" Type="http://schemas.openxmlformats.org/officeDocument/2006/relationships/hyperlink" Target="mailto:EVIATA24@GMAIL.COM" TargetMode="External"/><Relationship Id="rId35" Type="http://schemas.openxmlformats.org/officeDocument/2006/relationships/hyperlink" Target="mailto:AMIHAI84@GMAIL.COM" TargetMode="External"/><Relationship Id="rId43" Type="http://schemas.openxmlformats.org/officeDocument/2006/relationships/hyperlink" Target="mailto:ALI45@GMAIL.COM" TargetMode="External"/><Relationship Id="rId48" Type="http://schemas.openxmlformats.org/officeDocument/2006/relationships/hyperlink" Target="mailto:MALCIAL74@GMAIL.COM" TargetMode="External"/><Relationship Id="rId56" Type="http://schemas.openxmlformats.org/officeDocument/2006/relationships/printerSettings" Target="../printerSettings/printerSettings2.bin"/><Relationship Id="rId8" Type="http://schemas.openxmlformats.org/officeDocument/2006/relationships/hyperlink" Target="mailto:VARDA73@GMAIL.COM" TargetMode="External"/><Relationship Id="rId51" Type="http://schemas.openxmlformats.org/officeDocument/2006/relationships/hyperlink" Target="mailto:KOBI79@GMAIL.COM" TargetMode="External"/><Relationship Id="rId3" Type="http://schemas.openxmlformats.org/officeDocument/2006/relationships/hyperlink" Target="mailto:ELISHA632@GMAIL.COM" TargetMode="External"/><Relationship Id="rId12" Type="http://schemas.openxmlformats.org/officeDocument/2006/relationships/hyperlink" Target="mailto:SHIMON51@GMAIL.COM" TargetMode="External"/><Relationship Id="rId17" Type="http://schemas.openxmlformats.org/officeDocument/2006/relationships/hyperlink" Target="mailto:NERIYA94@GMAIL.COM" TargetMode="External"/><Relationship Id="rId25" Type="http://schemas.openxmlformats.org/officeDocument/2006/relationships/hyperlink" Target="mailto:NIERTABO3@GMAIL.COM" TargetMode="External"/><Relationship Id="rId33" Type="http://schemas.openxmlformats.org/officeDocument/2006/relationships/hyperlink" Target="mailto:YOSI3423@GMAIL.COM" TargetMode="External"/><Relationship Id="rId38" Type="http://schemas.openxmlformats.org/officeDocument/2006/relationships/hyperlink" Target="mailto:SOSHANA5@GMAIL.COM" TargetMode="External"/><Relationship Id="rId46" Type="http://schemas.openxmlformats.org/officeDocument/2006/relationships/hyperlink" Target="mailto:NETANAELD9@GMAIL.COM" TargetMode="External"/><Relationship Id="rId20" Type="http://schemas.openxmlformats.org/officeDocument/2006/relationships/hyperlink" Target="mailto:TANAMI82@GMAIL.COM" TargetMode="External"/><Relationship Id="rId41" Type="http://schemas.openxmlformats.org/officeDocument/2006/relationships/hyperlink" Target="mailto:AVIV28@GMAIL.COM" TargetMode="External"/><Relationship Id="rId54" Type="http://schemas.openxmlformats.org/officeDocument/2006/relationships/hyperlink" Target="mailto:AMITSASONN@GMAIL.COM" TargetMode="External"/><Relationship Id="rId1" Type="http://schemas.openxmlformats.org/officeDocument/2006/relationships/hyperlink" Target="mailto:DAVIDYH39@GMAIL.COM" TargetMode="External"/><Relationship Id="rId6" Type="http://schemas.openxmlformats.org/officeDocument/2006/relationships/hyperlink" Target="mailto:REBKAD@GMAIL.COM" TargetMode="External"/><Relationship Id="rId15" Type="http://schemas.openxmlformats.org/officeDocument/2006/relationships/hyperlink" Target="mailto:HAIM54@GMAIL.COM" TargetMode="External"/><Relationship Id="rId23" Type="http://schemas.openxmlformats.org/officeDocument/2006/relationships/hyperlink" Target="mailto:YONIT628@GMAIL.COM" TargetMode="External"/><Relationship Id="rId28" Type="http://schemas.openxmlformats.org/officeDocument/2006/relationships/hyperlink" Target="mailto:AMITCHO23@GMAIL.COM" TargetMode="External"/><Relationship Id="rId36" Type="http://schemas.openxmlformats.org/officeDocument/2006/relationships/hyperlink" Target="mailto:ZEMRI128@GMAIL.COM" TargetMode="External"/><Relationship Id="rId49" Type="http://schemas.openxmlformats.org/officeDocument/2006/relationships/hyperlink" Target="mailto:YOHANA11@GMAIL.COM" TargetMode="External"/><Relationship Id="rId57" Type="http://schemas.openxmlformats.org/officeDocument/2006/relationships/table" Target="../tables/table2.xml"/><Relationship Id="rId10" Type="http://schemas.openxmlformats.org/officeDocument/2006/relationships/hyperlink" Target="mailto:BENIW0238@GMAIL.COM" TargetMode="External"/><Relationship Id="rId31" Type="http://schemas.openxmlformats.org/officeDocument/2006/relationships/hyperlink" Target="mailto:ELADAR76@GMAIL.COM" TargetMode="External"/><Relationship Id="rId44" Type="http://schemas.openxmlformats.org/officeDocument/2006/relationships/hyperlink" Target="mailto:AHINOAM8@GMAIL.COM" TargetMode="External"/><Relationship Id="rId52" Type="http://schemas.openxmlformats.org/officeDocument/2006/relationships/hyperlink" Target="mailto:YOSI7272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YAIR22@GMAIL.COM" TargetMode="External"/><Relationship Id="rId1" Type="http://schemas.openxmlformats.org/officeDocument/2006/relationships/hyperlink" Target="mailto:DANA794@GMAIL.COM" TargetMode="Externa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96E8-19E8-4B5A-8DAB-DDDB44897996}">
  <sheetPr codeName="גיליון10">
    <tabColor theme="8" tint="0.59999389629810485"/>
    <pageSetUpPr fitToPage="1"/>
  </sheetPr>
  <dimension ref="A1:K101"/>
  <sheetViews>
    <sheetView rightToLeft="1" workbookViewId="0">
      <pane ySplit="1" topLeftCell="A2" activePane="bottomLeft" state="frozen"/>
      <selection pane="bottomLeft" activeCell="K4" sqref="K4"/>
    </sheetView>
  </sheetViews>
  <sheetFormatPr defaultColWidth="16.59765625" defaultRowHeight="17.399999999999999" x14ac:dyDescent="0.25"/>
  <cols>
    <col min="1" max="1" width="17.19921875" style="1" bestFit="1" customWidth="1"/>
    <col min="2" max="3" width="16.59765625" style="1"/>
    <col min="4" max="4" width="18.796875" style="1" customWidth="1"/>
    <col min="5" max="5" width="11.796875" style="1" customWidth="1"/>
    <col min="6" max="6" width="14.09765625" style="1" customWidth="1"/>
    <col min="7" max="7" width="17.59765625" style="1" bestFit="1" customWidth="1"/>
    <col min="8" max="8" width="20.8984375" style="14" bestFit="1" customWidth="1"/>
    <col min="9" max="9" width="17.09765625" style="15" customWidth="1"/>
    <col min="10" max="16384" width="16.59765625" style="1"/>
  </cols>
  <sheetData>
    <row r="1" spans="1:11" ht="18" thickBot="1" x14ac:dyDescent="0.3">
      <c r="A1" s="163" t="s">
        <v>0</v>
      </c>
      <c r="B1" s="164" t="s">
        <v>1</v>
      </c>
      <c r="C1" s="164" t="s">
        <v>2</v>
      </c>
      <c r="D1" s="164" t="s">
        <v>3</v>
      </c>
      <c r="E1" s="164" t="s">
        <v>4</v>
      </c>
      <c r="F1" s="164" t="s">
        <v>5</v>
      </c>
      <c r="G1" s="164" t="s">
        <v>6</v>
      </c>
      <c r="H1" s="165" t="s">
        <v>7</v>
      </c>
      <c r="I1" s="165" t="s">
        <v>8</v>
      </c>
    </row>
    <row r="2" spans="1:11" x14ac:dyDescent="0.25">
      <c r="A2" s="138">
        <f t="shared" ref="A2:A65" si="0">ROW()-1</f>
        <v>1</v>
      </c>
      <c r="B2" s="7">
        <v>62710</v>
      </c>
      <c r="C2" s="2" t="s">
        <v>9</v>
      </c>
      <c r="D2" s="3">
        <v>41881</v>
      </c>
      <c r="E2" s="2" t="s">
        <v>10</v>
      </c>
      <c r="F2" s="2" t="s">
        <v>11</v>
      </c>
      <c r="G2" s="4" t="s">
        <v>12</v>
      </c>
      <c r="H2" s="166">
        <v>-2879</v>
      </c>
      <c r="I2" s="5">
        <v>3109219</v>
      </c>
    </row>
    <row r="3" spans="1:11" x14ac:dyDescent="0.25">
      <c r="A3" s="9">
        <f t="shared" si="0"/>
        <v>2</v>
      </c>
      <c r="B3" s="7">
        <v>68132</v>
      </c>
      <c r="C3" s="2" t="s">
        <v>13</v>
      </c>
      <c r="D3" s="3">
        <v>30314</v>
      </c>
      <c r="E3" s="2" t="s">
        <v>10</v>
      </c>
      <c r="F3" s="2" t="s">
        <v>11</v>
      </c>
      <c r="G3" s="2" t="s">
        <v>14</v>
      </c>
      <c r="H3" s="167">
        <v>-2940</v>
      </c>
      <c r="I3" s="8">
        <v>5523117</v>
      </c>
    </row>
    <row r="4" spans="1:11" x14ac:dyDescent="0.25">
      <c r="A4" s="9">
        <f t="shared" si="0"/>
        <v>3</v>
      </c>
      <c r="B4" s="7">
        <v>91891</v>
      </c>
      <c r="C4" s="2" t="s">
        <v>13</v>
      </c>
      <c r="D4" s="3">
        <v>37885</v>
      </c>
      <c r="E4" s="2" t="s">
        <v>10</v>
      </c>
      <c r="F4" s="2" t="s">
        <v>11</v>
      </c>
      <c r="G4" s="2" t="s">
        <v>15</v>
      </c>
      <c r="H4" s="167">
        <v>-3426</v>
      </c>
      <c r="I4" s="8">
        <v>3097810</v>
      </c>
    </row>
    <row r="5" spans="1:11" x14ac:dyDescent="0.25">
      <c r="A5" s="9">
        <f t="shared" si="0"/>
        <v>4</v>
      </c>
      <c r="B5" s="7">
        <v>60120</v>
      </c>
      <c r="C5" s="2" t="s">
        <v>9</v>
      </c>
      <c r="D5" s="3">
        <v>37785</v>
      </c>
      <c r="E5" s="2" t="s">
        <v>10</v>
      </c>
      <c r="F5" s="2" t="s">
        <v>11</v>
      </c>
      <c r="G5" s="2" t="s">
        <v>16</v>
      </c>
      <c r="H5" s="167">
        <v>-2739</v>
      </c>
      <c r="I5" s="8">
        <v>1493186</v>
      </c>
      <c r="K5" s="10"/>
    </row>
    <row r="6" spans="1:11" x14ac:dyDescent="0.25">
      <c r="A6" s="9">
        <f t="shared" si="0"/>
        <v>5</v>
      </c>
      <c r="B6" s="7">
        <v>44459</v>
      </c>
      <c r="C6" s="2" t="s">
        <v>13</v>
      </c>
      <c r="D6" s="3">
        <v>23435</v>
      </c>
      <c r="E6" s="2" t="s">
        <v>10</v>
      </c>
      <c r="F6" s="2" t="s">
        <v>17</v>
      </c>
      <c r="G6" s="2" t="s">
        <v>18</v>
      </c>
      <c r="H6" s="167">
        <v>-3369</v>
      </c>
      <c r="I6" s="8">
        <v>4135412</v>
      </c>
    </row>
    <row r="7" spans="1:11" x14ac:dyDescent="0.25">
      <c r="A7" s="9">
        <f t="shared" si="0"/>
        <v>6</v>
      </c>
      <c r="B7" s="7">
        <v>59568</v>
      </c>
      <c r="C7" s="2" t="s">
        <v>9</v>
      </c>
      <c r="D7" s="3">
        <v>42404</v>
      </c>
      <c r="E7" s="2" t="s">
        <v>19</v>
      </c>
      <c r="F7" s="2" t="s">
        <v>20</v>
      </c>
      <c r="G7" s="2" t="s">
        <v>21</v>
      </c>
      <c r="H7" s="167">
        <v>-3000</v>
      </c>
      <c r="I7" s="8">
        <v>2420151</v>
      </c>
    </row>
    <row r="8" spans="1:11" x14ac:dyDescent="0.25">
      <c r="A8" s="9">
        <f t="shared" si="0"/>
        <v>7</v>
      </c>
      <c r="B8" s="7">
        <v>71190</v>
      </c>
      <c r="C8" s="2" t="s">
        <v>9</v>
      </c>
      <c r="D8" s="3">
        <v>24103</v>
      </c>
      <c r="E8" s="2" t="s">
        <v>19</v>
      </c>
      <c r="F8" s="2" t="s">
        <v>20</v>
      </c>
      <c r="G8" s="2" t="s">
        <v>22</v>
      </c>
      <c r="H8" s="167">
        <v>-2660</v>
      </c>
      <c r="I8" s="8">
        <v>4632523</v>
      </c>
    </row>
    <row r="9" spans="1:11" x14ac:dyDescent="0.25">
      <c r="A9" s="9">
        <f t="shared" si="0"/>
        <v>8</v>
      </c>
      <c r="B9" s="7">
        <v>83420</v>
      </c>
      <c r="C9" s="2" t="s">
        <v>9</v>
      </c>
      <c r="D9" s="3">
        <v>24503</v>
      </c>
      <c r="E9" s="2" t="s">
        <v>19</v>
      </c>
      <c r="F9" s="2" t="s">
        <v>20</v>
      </c>
      <c r="G9" s="2" t="s">
        <v>23</v>
      </c>
      <c r="H9" s="167">
        <v>-2633</v>
      </c>
      <c r="I9" s="8">
        <v>1265134</v>
      </c>
    </row>
    <row r="10" spans="1:11" x14ac:dyDescent="0.25">
      <c r="A10" s="9">
        <f t="shared" si="0"/>
        <v>9</v>
      </c>
      <c r="B10" s="7">
        <v>94328</v>
      </c>
      <c r="C10" s="2" t="s">
        <v>13</v>
      </c>
      <c r="D10" s="3">
        <v>22213</v>
      </c>
      <c r="E10" s="2" t="s">
        <v>19</v>
      </c>
      <c r="F10" s="2" t="s">
        <v>20</v>
      </c>
      <c r="G10" s="2" t="s">
        <v>24</v>
      </c>
      <c r="H10" s="167">
        <v>-2884</v>
      </c>
      <c r="I10" s="8">
        <v>2831684</v>
      </c>
    </row>
    <row r="11" spans="1:11" x14ac:dyDescent="0.25">
      <c r="A11" s="9">
        <f t="shared" si="0"/>
        <v>10</v>
      </c>
      <c r="B11" s="7">
        <v>29716</v>
      </c>
      <c r="C11" s="2" t="s">
        <v>9</v>
      </c>
      <c r="D11" s="3">
        <v>28611</v>
      </c>
      <c r="E11" s="2" t="s">
        <v>19</v>
      </c>
      <c r="F11" s="2" t="s">
        <v>20</v>
      </c>
      <c r="G11" s="2" t="s">
        <v>25</v>
      </c>
      <c r="H11" s="167">
        <v>-3309</v>
      </c>
      <c r="I11" s="8">
        <v>2688670</v>
      </c>
    </row>
    <row r="12" spans="1:11" x14ac:dyDescent="0.25">
      <c r="A12" s="9">
        <f t="shared" si="0"/>
        <v>11</v>
      </c>
      <c r="B12" s="7">
        <v>57004</v>
      </c>
      <c r="C12" s="2" t="s">
        <v>13</v>
      </c>
      <c r="D12" s="3">
        <v>24946</v>
      </c>
      <c r="E12" s="2" t="s">
        <v>10</v>
      </c>
      <c r="F12" s="2" t="s">
        <v>26</v>
      </c>
      <c r="G12" s="2" t="s">
        <v>27</v>
      </c>
      <c r="H12" s="167">
        <v>-2963</v>
      </c>
      <c r="I12" s="8">
        <v>5972648</v>
      </c>
    </row>
    <row r="13" spans="1:11" x14ac:dyDescent="0.25">
      <c r="A13" s="9">
        <f t="shared" si="0"/>
        <v>12</v>
      </c>
      <c r="B13" s="7">
        <v>86473</v>
      </c>
      <c r="C13" s="2" t="s">
        <v>13</v>
      </c>
      <c r="D13" s="3">
        <v>42022</v>
      </c>
      <c r="E13" s="2" t="s">
        <v>10</v>
      </c>
      <c r="F13" s="2" t="s">
        <v>26</v>
      </c>
      <c r="G13" s="2" t="s">
        <v>28</v>
      </c>
      <c r="H13" s="167">
        <v>-2743</v>
      </c>
      <c r="I13" s="8">
        <v>1546879</v>
      </c>
    </row>
    <row r="14" spans="1:11" x14ac:dyDescent="0.25">
      <c r="A14" s="9">
        <f t="shared" si="0"/>
        <v>13</v>
      </c>
      <c r="B14" s="7">
        <v>45555</v>
      </c>
      <c r="C14" s="2" t="s">
        <v>9</v>
      </c>
      <c r="D14" s="3">
        <v>33217</v>
      </c>
      <c r="E14" s="2" t="s">
        <v>10</v>
      </c>
      <c r="F14" s="2" t="s">
        <v>239</v>
      </c>
      <c r="G14" s="2" t="s">
        <v>456</v>
      </c>
      <c r="H14" s="167">
        <v>-2789</v>
      </c>
      <c r="I14" s="8">
        <v>3289871</v>
      </c>
    </row>
    <row r="15" spans="1:11" x14ac:dyDescent="0.25">
      <c r="A15" s="9">
        <f t="shared" si="0"/>
        <v>14</v>
      </c>
      <c r="B15" s="7">
        <v>45556</v>
      </c>
      <c r="C15" s="2" t="s">
        <v>9</v>
      </c>
      <c r="D15" s="3">
        <v>23829</v>
      </c>
      <c r="E15" s="2" t="s">
        <v>19</v>
      </c>
      <c r="F15" s="2" t="s">
        <v>29</v>
      </c>
      <c r="G15" s="2" t="s">
        <v>30</v>
      </c>
      <c r="H15" s="167">
        <v>-3423</v>
      </c>
      <c r="I15" s="8">
        <v>4963662</v>
      </c>
    </row>
    <row r="16" spans="1:11" x14ac:dyDescent="0.25">
      <c r="A16" s="9">
        <f t="shared" si="0"/>
        <v>15</v>
      </c>
      <c r="B16" s="7">
        <v>13000</v>
      </c>
      <c r="C16" s="2" t="s">
        <v>13</v>
      </c>
      <c r="D16" s="3">
        <v>34097</v>
      </c>
      <c r="E16" s="2" t="s">
        <v>19</v>
      </c>
      <c r="F16" s="2" t="s">
        <v>29</v>
      </c>
      <c r="G16" s="2" t="s">
        <v>31</v>
      </c>
      <c r="H16" s="167">
        <v>-3442</v>
      </c>
      <c r="I16" s="8">
        <v>1678189</v>
      </c>
    </row>
    <row r="17" spans="1:9" x14ac:dyDescent="0.25">
      <c r="A17" s="9">
        <f t="shared" si="0"/>
        <v>16</v>
      </c>
      <c r="B17" s="7">
        <v>13001</v>
      </c>
      <c r="C17" s="2" t="s">
        <v>9</v>
      </c>
      <c r="D17" s="3">
        <v>40118</v>
      </c>
      <c r="E17" s="2" t="s">
        <v>19</v>
      </c>
      <c r="F17" s="2" t="s">
        <v>32</v>
      </c>
      <c r="G17" s="2" t="s">
        <v>33</v>
      </c>
      <c r="H17" s="167">
        <v>-2500</v>
      </c>
      <c r="I17" s="8">
        <v>5478708</v>
      </c>
    </row>
    <row r="18" spans="1:9" x14ac:dyDescent="0.25">
      <c r="A18" s="9">
        <f t="shared" si="0"/>
        <v>17</v>
      </c>
      <c r="B18" s="7">
        <v>13002</v>
      </c>
      <c r="C18" s="2" t="s">
        <v>13</v>
      </c>
      <c r="D18" s="3">
        <v>27642</v>
      </c>
      <c r="E18" s="2" t="s">
        <v>19</v>
      </c>
      <c r="F18" s="2" t="s">
        <v>32</v>
      </c>
      <c r="G18" s="2" t="s">
        <v>34</v>
      </c>
      <c r="H18" s="167">
        <v>-3067</v>
      </c>
      <c r="I18" s="8">
        <v>2749290</v>
      </c>
    </row>
    <row r="19" spans="1:9" x14ac:dyDescent="0.25">
      <c r="A19" s="9">
        <f t="shared" si="0"/>
        <v>18</v>
      </c>
      <c r="B19" s="7">
        <v>95636</v>
      </c>
      <c r="C19" s="2" t="s">
        <v>9</v>
      </c>
      <c r="D19" s="3">
        <v>22590</v>
      </c>
      <c r="E19" s="2" t="s">
        <v>19</v>
      </c>
      <c r="F19" s="2" t="s">
        <v>32</v>
      </c>
      <c r="G19" s="2" t="s">
        <v>35</v>
      </c>
      <c r="H19" s="167">
        <v>-2973</v>
      </c>
      <c r="I19" s="8">
        <v>2909104</v>
      </c>
    </row>
    <row r="20" spans="1:9" x14ac:dyDescent="0.25">
      <c r="A20" s="9">
        <f t="shared" si="0"/>
        <v>19</v>
      </c>
      <c r="B20" s="7">
        <v>82998</v>
      </c>
      <c r="C20" s="2" t="s">
        <v>9</v>
      </c>
      <c r="D20" s="3">
        <v>34751</v>
      </c>
      <c r="E20" s="2" t="s">
        <v>36</v>
      </c>
      <c r="F20" s="2" t="s">
        <v>37</v>
      </c>
      <c r="G20" s="2" t="s">
        <v>38</v>
      </c>
      <c r="H20" s="167">
        <v>-2685</v>
      </c>
      <c r="I20" s="8">
        <v>2654254</v>
      </c>
    </row>
    <row r="21" spans="1:9" x14ac:dyDescent="0.25">
      <c r="A21" s="9">
        <f t="shared" si="0"/>
        <v>20</v>
      </c>
      <c r="B21" s="7">
        <v>99200</v>
      </c>
      <c r="C21" s="2" t="s">
        <v>9</v>
      </c>
      <c r="D21" s="3">
        <v>41189</v>
      </c>
      <c r="E21" s="2" t="s">
        <v>36</v>
      </c>
      <c r="F21" s="2" t="s">
        <v>37</v>
      </c>
      <c r="G21" s="2" t="s">
        <v>39</v>
      </c>
      <c r="H21" s="167">
        <v>-3170</v>
      </c>
      <c r="I21" s="8">
        <v>3128183</v>
      </c>
    </row>
    <row r="22" spans="1:9" x14ac:dyDescent="0.25">
      <c r="A22" s="9">
        <f t="shared" si="0"/>
        <v>21</v>
      </c>
      <c r="B22" s="7">
        <v>75000</v>
      </c>
      <c r="C22" s="2" t="s">
        <v>9</v>
      </c>
      <c r="D22" s="3">
        <v>22875</v>
      </c>
      <c r="E22" s="2" t="s">
        <v>36</v>
      </c>
      <c r="F22" s="2" t="s">
        <v>40</v>
      </c>
      <c r="G22" s="2" t="s">
        <v>41</v>
      </c>
      <c r="H22" s="167">
        <v>-3107</v>
      </c>
      <c r="I22" s="8">
        <v>5140967</v>
      </c>
    </row>
    <row r="23" spans="1:9" x14ac:dyDescent="0.25">
      <c r="A23" s="9">
        <f t="shared" si="0"/>
        <v>22</v>
      </c>
      <c r="B23" s="7">
        <v>78413</v>
      </c>
      <c r="C23" s="2" t="s">
        <v>9</v>
      </c>
      <c r="D23" s="3">
        <v>43457</v>
      </c>
      <c r="E23" s="2" t="s">
        <v>10</v>
      </c>
      <c r="F23" s="2" t="s">
        <v>42</v>
      </c>
      <c r="G23" s="2" t="s">
        <v>43</v>
      </c>
      <c r="H23" s="167">
        <v>-3152</v>
      </c>
      <c r="I23" s="8">
        <v>4829488</v>
      </c>
    </row>
    <row r="24" spans="1:9" x14ac:dyDescent="0.25">
      <c r="A24" s="9">
        <f t="shared" si="0"/>
        <v>23</v>
      </c>
      <c r="B24" s="7">
        <v>78414</v>
      </c>
      <c r="C24" s="2" t="s">
        <v>9</v>
      </c>
      <c r="D24" s="3">
        <v>31233</v>
      </c>
      <c r="E24" s="2" t="s">
        <v>36</v>
      </c>
      <c r="F24" s="2" t="s">
        <v>44</v>
      </c>
      <c r="G24" s="2" t="s">
        <v>45</v>
      </c>
      <c r="H24" s="167">
        <v>-2988</v>
      </c>
      <c r="I24" s="8">
        <v>4932271</v>
      </c>
    </row>
    <row r="25" spans="1:9" x14ac:dyDescent="0.25">
      <c r="A25" s="9">
        <f t="shared" si="0"/>
        <v>24</v>
      </c>
      <c r="B25" s="7">
        <v>99202</v>
      </c>
      <c r="C25" s="2" t="s">
        <v>9</v>
      </c>
      <c r="D25" s="3">
        <v>29490</v>
      </c>
      <c r="E25" s="2" t="s">
        <v>36</v>
      </c>
      <c r="F25" s="2" t="s">
        <v>44</v>
      </c>
      <c r="G25" s="2" t="s">
        <v>46</v>
      </c>
      <c r="H25" s="167">
        <v>-3044</v>
      </c>
      <c r="I25" s="8">
        <v>2369911</v>
      </c>
    </row>
    <row r="26" spans="1:9" x14ac:dyDescent="0.25">
      <c r="A26" s="9">
        <f t="shared" si="0"/>
        <v>25</v>
      </c>
      <c r="B26" s="7">
        <v>10989</v>
      </c>
      <c r="C26" s="2" t="s">
        <v>9</v>
      </c>
      <c r="D26" s="3">
        <v>26207</v>
      </c>
      <c r="E26" s="2" t="s">
        <v>36</v>
      </c>
      <c r="F26" s="2" t="s">
        <v>47</v>
      </c>
      <c r="G26" s="2" t="s">
        <v>48</v>
      </c>
      <c r="H26" s="167">
        <v>-3465</v>
      </c>
      <c r="I26" s="8">
        <v>4901872</v>
      </c>
    </row>
    <row r="27" spans="1:9" x14ac:dyDescent="0.25">
      <c r="A27" s="9">
        <f t="shared" si="0"/>
        <v>26</v>
      </c>
      <c r="B27" s="7">
        <v>99204</v>
      </c>
      <c r="C27" s="2" t="s">
        <v>13</v>
      </c>
      <c r="D27" s="3">
        <v>44135</v>
      </c>
      <c r="E27" s="2" t="s">
        <v>36</v>
      </c>
      <c r="F27" s="2" t="s">
        <v>49</v>
      </c>
      <c r="G27" s="2" t="s">
        <v>50</v>
      </c>
      <c r="H27" s="167">
        <v>-3087</v>
      </c>
      <c r="I27" s="8">
        <v>2724305</v>
      </c>
    </row>
    <row r="28" spans="1:9" x14ac:dyDescent="0.25">
      <c r="A28" s="9">
        <f t="shared" si="0"/>
        <v>27</v>
      </c>
      <c r="B28" s="7">
        <v>99205</v>
      </c>
      <c r="C28" s="2" t="s">
        <v>9</v>
      </c>
      <c r="D28" s="3">
        <v>22552</v>
      </c>
      <c r="E28" s="2" t="s">
        <v>36</v>
      </c>
      <c r="F28" s="2" t="s">
        <v>49</v>
      </c>
      <c r="G28" s="2" t="s">
        <v>51</v>
      </c>
      <c r="H28" s="167">
        <v>-3078</v>
      </c>
      <c r="I28" s="8">
        <v>4106189</v>
      </c>
    </row>
    <row r="29" spans="1:9" x14ac:dyDescent="0.25">
      <c r="A29" s="9">
        <f t="shared" si="0"/>
        <v>28</v>
      </c>
      <c r="B29" s="7">
        <v>99206</v>
      </c>
      <c r="C29" s="2" t="s">
        <v>13</v>
      </c>
      <c r="D29" s="3">
        <v>29334</v>
      </c>
      <c r="E29" s="2" t="s">
        <v>36</v>
      </c>
      <c r="F29" s="2" t="s">
        <v>49</v>
      </c>
      <c r="G29" s="2" t="s">
        <v>52</v>
      </c>
      <c r="H29" s="167">
        <v>-3209</v>
      </c>
      <c r="I29" s="8">
        <v>3032056</v>
      </c>
    </row>
    <row r="30" spans="1:9" x14ac:dyDescent="0.25">
      <c r="A30" s="9">
        <f t="shared" si="0"/>
        <v>29</v>
      </c>
      <c r="B30" s="7">
        <v>99207</v>
      </c>
      <c r="C30" s="2" t="s">
        <v>13</v>
      </c>
      <c r="D30" s="3">
        <v>24580</v>
      </c>
      <c r="E30" s="2" t="s">
        <v>36</v>
      </c>
      <c r="F30" s="2" t="s">
        <v>49</v>
      </c>
      <c r="G30" s="2" t="s">
        <v>53</v>
      </c>
      <c r="H30" s="167">
        <v>-3486</v>
      </c>
      <c r="I30" s="8">
        <v>5084147</v>
      </c>
    </row>
    <row r="31" spans="1:9" x14ac:dyDescent="0.25">
      <c r="A31" s="9">
        <f t="shared" si="0"/>
        <v>30</v>
      </c>
      <c r="B31" s="7">
        <v>99208</v>
      </c>
      <c r="C31" s="2" t="s">
        <v>9</v>
      </c>
      <c r="D31" s="3">
        <v>26246</v>
      </c>
      <c r="E31" s="2" t="s">
        <v>36</v>
      </c>
      <c r="F31" s="2" t="s">
        <v>49</v>
      </c>
      <c r="G31" s="2" t="s">
        <v>54</v>
      </c>
      <c r="H31" s="167">
        <v>-2714</v>
      </c>
      <c r="I31" s="8">
        <v>5636957</v>
      </c>
    </row>
    <row r="32" spans="1:9" x14ac:dyDescent="0.25">
      <c r="A32" s="9">
        <f t="shared" si="0"/>
        <v>31</v>
      </c>
      <c r="B32" s="7">
        <v>99209</v>
      </c>
      <c r="C32" s="2" t="s">
        <v>13</v>
      </c>
      <c r="D32" s="3">
        <v>23959</v>
      </c>
      <c r="E32" s="2" t="s">
        <v>36</v>
      </c>
      <c r="F32" s="2" t="s">
        <v>49</v>
      </c>
      <c r="G32" s="2" t="s">
        <v>55</v>
      </c>
      <c r="H32" s="167">
        <v>-2856</v>
      </c>
      <c r="I32" s="8">
        <v>4137460</v>
      </c>
    </row>
    <row r="33" spans="1:9" x14ac:dyDescent="0.25">
      <c r="A33" s="9">
        <f t="shared" si="0"/>
        <v>32</v>
      </c>
      <c r="B33" s="7">
        <v>99465</v>
      </c>
      <c r="C33" s="2" t="s">
        <v>9</v>
      </c>
      <c r="D33" s="3">
        <v>38452</v>
      </c>
      <c r="E33" s="2" t="s">
        <v>36</v>
      </c>
      <c r="F33" s="2" t="s">
        <v>49</v>
      </c>
      <c r="G33" s="2" t="s">
        <v>56</v>
      </c>
      <c r="H33" s="167">
        <v>-2516</v>
      </c>
      <c r="I33" s="8">
        <v>3542587</v>
      </c>
    </row>
    <row r="34" spans="1:9" x14ac:dyDescent="0.25">
      <c r="A34" s="9">
        <f t="shared" si="0"/>
        <v>33</v>
      </c>
      <c r="B34" s="7">
        <v>12347</v>
      </c>
      <c r="C34" s="2" t="s">
        <v>13</v>
      </c>
      <c r="D34" s="3">
        <v>28696</v>
      </c>
      <c r="E34" s="2" t="s">
        <v>36</v>
      </c>
      <c r="F34" s="2" t="s">
        <v>49</v>
      </c>
      <c r="G34" s="2" t="s">
        <v>57</v>
      </c>
      <c r="H34" s="167">
        <v>-2561</v>
      </c>
      <c r="I34" s="8">
        <v>4457208</v>
      </c>
    </row>
    <row r="35" spans="1:9" x14ac:dyDescent="0.25">
      <c r="A35" s="9">
        <f t="shared" si="0"/>
        <v>34</v>
      </c>
      <c r="B35" s="7">
        <v>99203</v>
      </c>
      <c r="C35" s="2" t="s">
        <v>13</v>
      </c>
      <c r="D35" s="3">
        <v>36879</v>
      </c>
      <c r="E35" s="2" t="s">
        <v>19</v>
      </c>
      <c r="F35" s="2" t="s">
        <v>58</v>
      </c>
      <c r="G35" s="2" t="s">
        <v>59</v>
      </c>
      <c r="H35" s="167">
        <v>-3364</v>
      </c>
      <c r="I35" s="8">
        <v>4748222</v>
      </c>
    </row>
    <row r="36" spans="1:9" x14ac:dyDescent="0.25">
      <c r="A36" s="9">
        <f t="shared" si="0"/>
        <v>35</v>
      </c>
      <c r="B36" s="7">
        <v>36489</v>
      </c>
      <c r="C36" s="2" t="s">
        <v>13</v>
      </c>
      <c r="D36" s="3">
        <v>28661</v>
      </c>
      <c r="E36" s="2" t="s">
        <v>36</v>
      </c>
      <c r="F36" s="2" t="s">
        <v>60</v>
      </c>
      <c r="G36" s="2" t="s">
        <v>61</v>
      </c>
      <c r="H36" s="167">
        <v>-2619</v>
      </c>
      <c r="I36" s="8">
        <v>4976249</v>
      </c>
    </row>
    <row r="37" spans="1:9" x14ac:dyDescent="0.25">
      <c r="A37" s="9">
        <f t="shared" si="0"/>
        <v>36</v>
      </c>
      <c r="B37" s="7">
        <v>75003</v>
      </c>
      <c r="C37" s="2" t="s">
        <v>13</v>
      </c>
      <c r="D37" s="3">
        <v>23774</v>
      </c>
      <c r="E37" s="2" t="s">
        <v>19</v>
      </c>
      <c r="F37" s="2" t="s">
        <v>62</v>
      </c>
      <c r="G37" s="2" t="s">
        <v>63</v>
      </c>
      <c r="H37" s="167">
        <v>-3079</v>
      </c>
      <c r="I37" s="8">
        <v>3015459</v>
      </c>
    </row>
    <row r="38" spans="1:9" x14ac:dyDescent="0.25">
      <c r="A38" s="9">
        <f t="shared" si="0"/>
        <v>37</v>
      </c>
      <c r="B38" s="7">
        <v>75004</v>
      </c>
      <c r="C38" s="2" t="s">
        <v>13</v>
      </c>
      <c r="D38" s="3">
        <v>29287</v>
      </c>
      <c r="E38" s="2" t="s">
        <v>19</v>
      </c>
      <c r="F38" s="2" t="s">
        <v>62</v>
      </c>
      <c r="G38" s="2" t="s">
        <v>64</v>
      </c>
      <c r="H38" s="167">
        <v>-3180</v>
      </c>
      <c r="I38" s="8">
        <v>5293720</v>
      </c>
    </row>
    <row r="39" spans="1:9" x14ac:dyDescent="0.25">
      <c r="A39" s="9">
        <f t="shared" si="0"/>
        <v>38</v>
      </c>
      <c r="B39" s="7">
        <v>75005</v>
      </c>
      <c r="C39" s="2" t="s">
        <v>9</v>
      </c>
      <c r="D39" s="3">
        <v>34186</v>
      </c>
      <c r="E39" s="2" t="s">
        <v>19</v>
      </c>
      <c r="F39" s="2" t="s">
        <v>62</v>
      </c>
      <c r="G39" s="2" t="s">
        <v>65</v>
      </c>
      <c r="H39" s="167">
        <v>-3397</v>
      </c>
      <c r="I39" s="8">
        <v>3114322</v>
      </c>
    </row>
    <row r="40" spans="1:9" x14ac:dyDescent="0.25">
      <c r="A40" s="9">
        <f t="shared" si="0"/>
        <v>39</v>
      </c>
      <c r="B40" s="7">
        <v>75006</v>
      </c>
      <c r="C40" s="2" t="s">
        <v>9</v>
      </c>
      <c r="D40" s="3">
        <v>38657</v>
      </c>
      <c r="E40" s="2" t="s">
        <v>19</v>
      </c>
      <c r="F40" s="2" t="s">
        <v>62</v>
      </c>
      <c r="G40" s="2" t="s">
        <v>66</v>
      </c>
      <c r="H40" s="167">
        <v>-3049</v>
      </c>
      <c r="I40" s="8">
        <v>4036972</v>
      </c>
    </row>
    <row r="41" spans="1:9" x14ac:dyDescent="0.25">
      <c r="A41" s="9">
        <f t="shared" si="0"/>
        <v>40</v>
      </c>
      <c r="B41" s="7">
        <v>75007</v>
      </c>
      <c r="C41" s="2" t="s">
        <v>13</v>
      </c>
      <c r="D41" s="3">
        <v>38432</v>
      </c>
      <c r="E41" s="2" t="s">
        <v>19</v>
      </c>
      <c r="F41" s="2" t="s">
        <v>62</v>
      </c>
      <c r="G41" s="2" t="s">
        <v>67</v>
      </c>
      <c r="H41" s="167">
        <v>-3089</v>
      </c>
      <c r="I41" s="8">
        <v>2923413</v>
      </c>
    </row>
    <row r="42" spans="1:9" x14ac:dyDescent="0.25">
      <c r="A42" s="9">
        <f t="shared" si="0"/>
        <v>41</v>
      </c>
      <c r="B42" s="7">
        <v>75008</v>
      </c>
      <c r="C42" s="2" t="s">
        <v>9</v>
      </c>
      <c r="D42" s="3">
        <v>36235</v>
      </c>
      <c r="E42" s="2" t="s">
        <v>19</v>
      </c>
      <c r="F42" s="2" t="s">
        <v>62</v>
      </c>
      <c r="G42" s="2" t="s">
        <v>68</v>
      </c>
      <c r="H42" s="167">
        <v>-2610</v>
      </c>
      <c r="I42" s="8">
        <v>1808619</v>
      </c>
    </row>
    <row r="43" spans="1:9" x14ac:dyDescent="0.25">
      <c r="A43" s="9">
        <f t="shared" si="0"/>
        <v>42</v>
      </c>
      <c r="B43" s="7">
        <v>75009</v>
      </c>
      <c r="C43" s="2" t="s">
        <v>13</v>
      </c>
      <c r="D43" s="3">
        <v>27761</v>
      </c>
      <c r="E43" s="2" t="s">
        <v>19</v>
      </c>
      <c r="F43" s="2" t="s">
        <v>62</v>
      </c>
      <c r="G43" s="2" t="s">
        <v>69</v>
      </c>
      <c r="H43" s="167">
        <v>-3255</v>
      </c>
      <c r="I43" s="8">
        <v>3269474</v>
      </c>
    </row>
    <row r="44" spans="1:9" x14ac:dyDescent="0.25">
      <c r="A44" s="9">
        <f t="shared" si="0"/>
        <v>43</v>
      </c>
      <c r="B44" s="7">
        <v>75010</v>
      </c>
      <c r="C44" s="2" t="s">
        <v>9</v>
      </c>
      <c r="D44" s="3">
        <v>22366</v>
      </c>
      <c r="E44" s="2" t="s">
        <v>19</v>
      </c>
      <c r="F44" s="2" t="s">
        <v>62</v>
      </c>
      <c r="G44" s="2" t="s">
        <v>70</v>
      </c>
      <c r="H44" s="167">
        <v>-3189</v>
      </c>
      <c r="I44" s="8">
        <v>1181182</v>
      </c>
    </row>
    <row r="45" spans="1:9" x14ac:dyDescent="0.25">
      <c r="A45" s="9">
        <f t="shared" si="0"/>
        <v>44</v>
      </c>
      <c r="B45" s="7">
        <v>75011</v>
      </c>
      <c r="C45" s="2" t="s">
        <v>13</v>
      </c>
      <c r="D45" s="3">
        <v>23149</v>
      </c>
      <c r="E45" s="2" t="s">
        <v>19</v>
      </c>
      <c r="F45" s="2" t="s">
        <v>62</v>
      </c>
      <c r="G45" s="2" t="s">
        <v>71</v>
      </c>
      <c r="H45" s="167">
        <v>-2754</v>
      </c>
      <c r="I45" s="8">
        <v>4895194</v>
      </c>
    </row>
    <row r="46" spans="1:9" x14ac:dyDescent="0.25">
      <c r="A46" s="9">
        <f t="shared" si="0"/>
        <v>45</v>
      </c>
      <c r="B46" s="7">
        <v>15000</v>
      </c>
      <c r="C46" s="2" t="s">
        <v>13</v>
      </c>
      <c r="D46" s="3">
        <v>40193</v>
      </c>
      <c r="E46" s="2" t="s">
        <v>19</v>
      </c>
      <c r="F46" s="2" t="s">
        <v>62</v>
      </c>
      <c r="G46" s="2" t="s">
        <v>72</v>
      </c>
      <c r="H46" s="167">
        <v>-2530</v>
      </c>
      <c r="I46" s="8">
        <v>5821886</v>
      </c>
    </row>
    <row r="47" spans="1:9" x14ac:dyDescent="0.25">
      <c r="A47" s="9">
        <f t="shared" si="0"/>
        <v>46</v>
      </c>
      <c r="B47" s="7">
        <v>15001</v>
      </c>
      <c r="C47" s="2" t="s">
        <v>13</v>
      </c>
      <c r="D47" s="3">
        <v>29701</v>
      </c>
      <c r="E47" s="2" t="s">
        <v>19</v>
      </c>
      <c r="F47" s="2" t="s">
        <v>73</v>
      </c>
      <c r="G47" s="2" t="s">
        <v>74</v>
      </c>
      <c r="H47" s="167">
        <v>-3300</v>
      </c>
      <c r="I47" s="8">
        <v>2360052</v>
      </c>
    </row>
    <row r="48" spans="1:9" x14ac:dyDescent="0.25">
      <c r="A48" s="9">
        <f t="shared" si="0"/>
        <v>47</v>
      </c>
      <c r="B48" s="7">
        <v>15002</v>
      </c>
      <c r="C48" s="2" t="s">
        <v>9</v>
      </c>
      <c r="D48" s="3">
        <v>28288</v>
      </c>
      <c r="E48" s="2" t="s">
        <v>19</v>
      </c>
      <c r="F48" s="2" t="s">
        <v>73</v>
      </c>
      <c r="G48" s="2" t="s">
        <v>75</v>
      </c>
      <c r="H48" s="167">
        <v>-3418</v>
      </c>
      <c r="I48" s="8">
        <v>5411847</v>
      </c>
    </row>
    <row r="49" spans="1:9" x14ac:dyDescent="0.25">
      <c r="A49" s="9">
        <f t="shared" si="0"/>
        <v>48</v>
      </c>
      <c r="B49" s="7">
        <v>15003</v>
      </c>
      <c r="C49" s="2" t="s">
        <v>9</v>
      </c>
      <c r="D49" s="3">
        <v>33290</v>
      </c>
      <c r="E49" s="2" t="s">
        <v>19</v>
      </c>
      <c r="F49" s="2" t="s">
        <v>73</v>
      </c>
      <c r="G49" s="2" t="s">
        <v>76</v>
      </c>
      <c r="H49" s="167">
        <v>-3147</v>
      </c>
      <c r="I49" s="8">
        <v>3488715</v>
      </c>
    </row>
    <row r="50" spans="1:9" x14ac:dyDescent="0.25">
      <c r="A50" s="9">
        <f t="shared" si="0"/>
        <v>49</v>
      </c>
      <c r="B50" s="136">
        <v>15004</v>
      </c>
      <c r="C50" s="2" t="s">
        <v>9</v>
      </c>
      <c r="D50" s="12">
        <v>36175</v>
      </c>
      <c r="E50" s="11" t="s">
        <v>19</v>
      </c>
      <c r="F50" s="11" t="s">
        <v>73</v>
      </c>
      <c r="G50" s="11" t="s">
        <v>77</v>
      </c>
      <c r="H50" s="168">
        <v>-3165</v>
      </c>
      <c r="I50" s="13">
        <v>2804116</v>
      </c>
    </row>
    <row r="51" spans="1:9" x14ac:dyDescent="0.25">
      <c r="A51" s="9">
        <f t="shared" si="0"/>
        <v>50</v>
      </c>
      <c r="B51" s="136">
        <v>88888</v>
      </c>
      <c r="C51" s="2" t="s">
        <v>13</v>
      </c>
      <c r="D51" s="12">
        <v>33450</v>
      </c>
      <c r="E51" s="11" t="s">
        <v>19</v>
      </c>
      <c r="F51" s="11" t="s">
        <v>73</v>
      </c>
      <c r="G51" s="11" t="s">
        <v>78</v>
      </c>
      <c r="H51" s="168">
        <v>-3257</v>
      </c>
      <c r="I51" s="13">
        <v>3163663</v>
      </c>
    </row>
    <row r="52" spans="1:9" x14ac:dyDescent="0.25">
      <c r="A52" s="9">
        <f t="shared" si="0"/>
        <v>51</v>
      </c>
      <c r="B52" s="136">
        <v>88897</v>
      </c>
      <c r="C52" s="2" t="s">
        <v>13</v>
      </c>
      <c r="D52" s="12">
        <v>41035</v>
      </c>
      <c r="E52" s="11" t="s">
        <v>19</v>
      </c>
      <c r="F52" s="11" t="s">
        <v>73</v>
      </c>
      <c r="G52" s="11" t="s">
        <v>79</v>
      </c>
      <c r="H52" s="168">
        <v>-2678</v>
      </c>
      <c r="I52" s="13">
        <v>6039372</v>
      </c>
    </row>
    <row r="53" spans="1:9" x14ac:dyDescent="0.25">
      <c r="A53" s="9">
        <f t="shared" si="0"/>
        <v>52</v>
      </c>
      <c r="B53" s="7">
        <v>25416</v>
      </c>
      <c r="C53" s="2" t="s">
        <v>13</v>
      </c>
      <c r="D53" s="12">
        <v>41211</v>
      </c>
      <c r="E53" s="11" t="s">
        <v>19</v>
      </c>
      <c r="F53" s="2" t="s">
        <v>73</v>
      </c>
      <c r="G53" s="2" t="s">
        <v>80</v>
      </c>
      <c r="H53" s="167">
        <v>-3085</v>
      </c>
      <c r="I53" s="8">
        <v>3478214</v>
      </c>
    </row>
    <row r="54" spans="1:9" x14ac:dyDescent="0.25">
      <c r="A54" s="9">
        <f t="shared" si="0"/>
        <v>53</v>
      </c>
      <c r="B54" s="7">
        <v>54872</v>
      </c>
      <c r="C54" s="2" t="s">
        <v>13</v>
      </c>
      <c r="D54" s="3">
        <v>28644</v>
      </c>
      <c r="E54" s="2" t="s">
        <v>36</v>
      </c>
      <c r="F54" s="2" t="s">
        <v>81</v>
      </c>
      <c r="G54" s="2" t="s">
        <v>82</v>
      </c>
      <c r="H54" s="167">
        <v>-2954</v>
      </c>
      <c r="I54" s="8">
        <v>1183829</v>
      </c>
    </row>
    <row r="55" spans="1:9" x14ac:dyDescent="0.25">
      <c r="A55" s="9">
        <f t="shared" si="0"/>
        <v>54</v>
      </c>
      <c r="B55" s="7">
        <v>86073</v>
      </c>
      <c r="C55" s="2" t="s">
        <v>13</v>
      </c>
      <c r="D55" s="3">
        <v>33409</v>
      </c>
      <c r="E55" s="2" t="s">
        <v>36</v>
      </c>
      <c r="F55" s="2" t="s">
        <v>83</v>
      </c>
      <c r="G55" s="2" t="s">
        <v>84</v>
      </c>
      <c r="H55" s="167">
        <v>-2771</v>
      </c>
      <c r="I55" s="8">
        <v>2979552</v>
      </c>
    </row>
    <row r="56" spans="1:9" x14ac:dyDescent="0.25">
      <c r="A56" s="9">
        <f t="shared" si="0"/>
        <v>55</v>
      </c>
      <c r="B56" s="7">
        <v>84798</v>
      </c>
      <c r="C56" s="2" t="s">
        <v>9</v>
      </c>
      <c r="D56" s="3">
        <v>28674</v>
      </c>
      <c r="E56" s="2" t="s">
        <v>36</v>
      </c>
      <c r="F56" s="2" t="s">
        <v>83</v>
      </c>
      <c r="G56" s="2" t="s">
        <v>85</v>
      </c>
      <c r="H56" s="167">
        <v>-2951</v>
      </c>
      <c r="I56" s="8">
        <v>3685841</v>
      </c>
    </row>
    <row r="57" spans="1:9" x14ac:dyDescent="0.25">
      <c r="A57" s="9">
        <f t="shared" si="0"/>
        <v>56</v>
      </c>
      <c r="B57" s="7">
        <v>38341</v>
      </c>
      <c r="C57" s="2" t="s">
        <v>9</v>
      </c>
      <c r="D57" s="3">
        <v>33663</v>
      </c>
      <c r="E57" s="2" t="s">
        <v>10</v>
      </c>
      <c r="F57" s="2" t="s">
        <v>86</v>
      </c>
      <c r="G57" s="2" t="s">
        <v>87</v>
      </c>
      <c r="H57" s="167">
        <v>-2697</v>
      </c>
      <c r="I57" s="8">
        <v>1279403</v>
      </c>
    </row>
    <row r="58" spans="1:9" x14ac:dyDescent="0.25">
      <c r="A58" s="9">
        <f t="shared" si="0"/>
        <v>57</v>
      </c>
      <c r="B58" s="7">
        <v>78416</v>
      </c>
      <c r="C58" s="2" t="s">
        <v>13</v>
      </c>
      <c r="D58" s="3">
        <v>27060</v>
      </c>
      <c r="E58" s="2" t="s">
        <v>36</v>
      </c>
      <c r="F58" s="2" t="s">
        <v>88</v>
      </c>
      <c r="G58" s="2" t="s">
        <v>89</v>
      </c>
      <c r="H58" s="167">
        <v>-3407</v>
      </c>
      <c r="I58" s="8">
        <v>1246061</v>
      </c>
    </row>
    <row r="59" spans="1:9" x14ac:dyDescent="0.25">
      <c r="A59" s="9">
        <f t="shared" si="0"/>
        <v>58</v>
      </c>
      <c r="B59" s="7">
        <v>35205</v>
      </c>
      <c r="C59" s="2" t="s">
        <v>13</v>
      </c>
      <c r="D59" s="12">
        <v>22151</v>
      </c>
      <c r="E59" s="11" t="s">
        <v>36</v>
      </c>
      <c r="F59" s="2" t="s">
        <v>88</v>
      </c>
      <c r="G59" s="2" t="s">
        <v>90</v>
      </c>
      <c r="H59" s="167">
        <v>-3002</v>
      </c>
      <c r="I59" s="8">
        <v>6046974</v>
      </c>
    </row>
    <row r="60" spans="1:9" x14ac:dyDescent="0.25">
      <c r="A60" s="9">
        <f t="shared" si="0"/>
        <v>59</v>
      </c>
      <c r="B60" s="7">
        <v>57543</v>
      </c>
      <c r="C60" s="2" t="s">
        <v>13</v>
      </c>
      <c r="D60" s="3">
        <v>24368</v>
      </c>
      <c r="E60" s="2" t="s">
        <v>36</v>
      </c>
      <c r="F60" s="2" t="s">
        <v>88</v>
      </c>
      <c r="G60" s="2" t="s">
        <v>91</v>
      </c>
      <c r="H60" s="167">
        <v>-3043</v>
      </c>
      <c r="I60" s="8">
        <v>2469273</v>
      </c>
    </row>
    <row r="61" spans="1:9" x14ac:dyDescent="0.25">
      <c r="A61" s="9">
        <f t="shared" si="0"/>
        <v>60</v>
      </c>
      <c r="B61" s="7">
        <v>63409</v>
      </c>
      <c r="C61" s="2" t="s">
        <v>13</v>
      </c>
      <c r="D61" s="3">
        <v>34381</v>
      </c>
      <c r="E61" s="2" t="s">
        <v>10</v>
      </c>
      <c r="F61" s="2" t="s">
        <v>92</v>
      </c>
      <c r="G61" s="2" t="s">
        <v>93</v>
      </c>
      <c r="H61" s="167">
        <v>-2751</v>
      </c>
      <c r="I61" s="8">
        <v>4924133</v>
      </c>
    </row>
    <row r="62" spans="1:9" x14ac:dyDescent="0.25">
      <c r="A62" s="9">
        <f t="shared" si="0"/>
        <v>61</v>
      </c>
      <c r="B62" s="7">
        <v>70127</v>
      </c>
      <c r="C62" s="2" t="s">
        <v>13</v>
      </c>
      <c r="D62" s="3">
        <v>26552</v>
      </c>
      <c r="E62" s="2" t="s">
        <v>10</v>
      </c>
      <c r="F62" s="2" t="s">
        <v>92</v>
      </c>
      <c r="G62" s="2" t="s">
        <v>94</v>
      </c>
      <c r="H62" s="167">
        <v>-2661</v>
      </c>
      <c r="I62" s="8">
        <v>3486194</v>
      </c>
    </row>
    <row r="63" spans="1:9" x14ac:dyDescent="0.25">
      <c r="A63" s="9">
        <f t="shared" si="0"/>
        <v>62</v>
      </c>
      <c r="B63" s="7">
        <v>61559</v>
      </c>
      <c r="C63" s="2" t="s">
        <v>13</v>
      </c>
      <c r="D63" s="3">
        <v>23437</v>
      </c>
      <c r="E63" s="2" t="s">
        <v>10</v>
      </c>
      <c r="F63" s="2" t="s">
        <v>92</v>
      </c>
      <c r="G63" s="2" t="s">
        <v>95</v>
      </c>
      <c r="H63" s="167">
        <v>-3333</v>
      </c>
      <c r="I63" s="8">
        <v>2909091</v>
      </c>
    </row>
    <row r="64" spans="1:9" x14ac:dyDescent="0.25">
      <c r="A64" s="9">
        <f t="shared" si="0"/>
        <v>63</v>
      </c>
      <c r="B64" s="7">
        <v>29845</v>
      </c>
      <c r="C64" s="2" t="s">
        <v>13</v>
      </c>
      <c r="D64" s="3">
        <v>44146</v>
      </c>
      <c r="E64" s="2" t="s">
        <v>10</v>
      </c>
      <c r="F64" s="2" t="s">
        <v>92</v>
      </c>
      <c r="G64" s="2" t="s">
        <v>96</v>
      </c>
      <c r="H64" s="167">
        <v>-2553</v>
      </c>
      <c r="I64" s="8">
        <v>5527863</v>
      </c>
    </row>
    <row r="65" spans="1:9" x14ac:dyDescent="0.25">
      <c r="A65" s="9">
        <f t="shared" si="0"/>
        <v>64</v>
      </c>
      <c r="B65" s="7">
        <v>31321</v>
      </c>
      <c r="C65" s="2" t="s">
        <v>13</v>
      </c>
      <c r="D65" s="3">
        <v>26613</v>
      </c>
      <c r="E65" s="2" t="s">
        <v>19</v>
      </c>
      <c r="F65" s="2" t="s">
        <v>97</v>
      </c>
      <c r="G65" s="2" t="s">
        <v>98</v>
      </c>
      <c r="H65" s="167">
        <v>-2529</v>
      </c>
      <c r="I65" s="8">
        <v>1595282</v>
      </c>
    </row>
    <row r="66" spans="1:9" x14ac:dyDescent="0.25">
      <c r="A66" s="9">
        <f t="shared" ref="A66:A100" si="1">ROW()-1</f>
        <v>65</v>
      </c>
      <c r="B66" s="7">
        <v>80488</v>
      </c>
      <c r="C66" s="2" t="s">
        <v>9</v>
      </c>
      <c r="D66" s="12">
        <v>35258</v>
      </c>
      <c r="E66" s="11" t="s">
        <v>36</v>
      </c>
      <c r="F66" s="11" t="s">
        <v>99</v>
      </c>
      <c r="G66" s="11" t="s">
        <v>100</v>
      </c>
      <c r="H66" s="167">
        <v>-2520</v>
      </c>
      <c r="I66" s="8">
        <v>4938351</v>
      </c>
    </row>
    <row r="67" spans="1:9" x14ac:dyDescent="0.25">
      <c r="A67" s="9">
        <f t="shared" si="1"/>
        <v>66</v>
      </c>
      <c r="B67" s="7">
        <v>82228</v>
      </c>
      <c r="C67" s="2" t="s">
        <v>13</v>
      </c>
      <c r="D67" s="3">
        <v>22692</v>
      </c>
      <c r="E67" s="2" t="s">
        <v>36</v>
      </c>
      <c r="F67" s="2" t="s">
        <v>99</v>
      </c>
      <c r="G67" s="2" t="s">
        <v>101</v>
      </c>
      <c r="H67" s="167">
        <v>-2879</v>
      </c>
      <c r="I67" s="8">
        <v>3200895</v>
      </c>
    </row>
    <row r="68" spans="1:9" x14ac:dyDescent="0.25">
      <c r="A68" s="9">
        <f t="shared" si="1"/>
        <v>67</v>
      </c>
      <c r="B68" s="7">
        <v>63420</v>
      </c>
      <c r="C68" s="2" t="s">
        <v>9</v>
      </c>
      <c r="D68" s="3">
        <v>24961</v>
      </c>
      <c r="E68" s="2" t="s">
        <v>36</v>
      </c>
      <c r="F68" s="2" t="s">
        <v>99</v>
      </c>
      <c r="G68" s="2" t="s">
        <v>102</v>
      </c>
      <c r="H68" s="167">
        <v>-2515</v>
      </c>
      <c r="I68" s="8">
        <v>2364994</v>
      </c>
    </row>
    <row r="69" spans="1:9" x14ac:dyDescent="0.25">
      <c r="A69" s="9">
        <f t="shared" si="1"/>
        <v>68</v>
      </c>
      <c r="B69" s="7">
        <v>88651</v>
      </c>
      <c r="C69" s="2" t="s">
        <v>13</v>
      </c>
      <c r="D69" s="3">
        <v>27386</v>
      </c>
      <c r="E69" s="2" t="s">
        <v>36</v>
      </c>
      <c r="F69" s="2" t="s">
        <v>99</v>
      </c>
      <c r="G69" s="2" t="s">
        <v>103</v>
      </c>
      <c r="H69" s="167">
        <v>-2643</v>
      </c>
      <c r="I69" s="8">
        <v>4037821</v>
      </c>
    </row>
    <row r="70" spans="1:9" x14ac:dyDescent="0.25">
      <c r="A70" s="9">
        <f t="shared" si="1"/>
        <v>69</v>
      </c>
      <c r="B70" s="7">
        <v>99201</v>
      </c>
      <c r="C70" s="2" t="s">
        <v>13</v>
      </c>
      <c r="D70" s="3">
        <v>38365</v>
      </c>
      <c r="E70" s="2" t="s">
        <v>10</v>
      </c>
      <c r="F70" s="2" t="s">
        <v>104</v>
      </c>
      <c r="G70" s="2" t="s">
        <v>105</v>
      </c>
      <c r="H70" s="167">
        <v>-2617</v>
      </c>
      <c r="I70" s="8">
        <v>4904761</v>
      </c>
    </row>
    <row r="71" spans="1:9" x14ac:dyDescent="0.25">
      <c r="A71" s="9">
        <f t="shared" si="1"/>
        <v>70</v>
      </c>
      <c r="B71" s="7">
        <v>48956</v>
      </c>
      <c r="C71" s="2" t="s">
        <v>13</v>
      </c>
      <c r="D71" s="12">
        <v>25298</v>
      </c>
      <c r="E71" s="11" t="s">
        <v>36</v>
      </c>
      <c r="F71" s="2" t="s">
        <v>106</v>
      </c>
      <c r="G71" s="2" t="s">
        <v>107</v>
      </c>
      <c r="H71" s="167">
        <v>-3083</v>
      </c>
      <c r="I71" s="8">
        <v>2575315</v>
      </c>
    </row>
    <row r="72" spans="1:9" x14ac:dyDescent="0.25">
      <c r="A72" s="9">
        <f t="shared" si="1"/>
        <v>71</v>
      </c>
      <c r="B72" s="7">
        <v>48957</v>
      </c>
      <c r="C72" s="2" t="s">
        <v>9</v>
      </c>
      <c r="D72" s="3">
        <v>42407</v>
      </c>
      <c r="E72" s="2" t="s">
        <v>19</v>
      </c>
      <c r="F72" s="2" t="s">
        <v>108</v>
      </c>
      <c r="G72" s="2" t="s">
        <v>109</v>
      </c>
      <c r="H72" s="167">
        <v>-3455</v>
      </c>
      <c r="I72" s="8">
        <v>1713111</v>
      </c>
    </row>
    <row r="73" spans="1:9" x14ac:dyDescent="0.25">
      <c r="A73" s="9">
        <f t="shared" si="1"/>
        <v>72</v>
      </c>
      <c r="B73" s="7">
        <v>10380</v>
      </c>
      <c r="C73" s="2" t="s">
        <v>13</v>
      </c>
      <c r="D73" s="3">
        <v>36723</v>
      </c>
      <c r="E73" s="2" t="s">
        <v>19</v>
      </c>
      <c r="F73" s="2" t="s">
        <v>108</v>
      </c>
      <c r="G73" s="2" t="s">
        <v>110</v>
      </c>
      <c r="H73" s="167">
        <v>-2600</v>
      </c>
      <c r="I73" s="8">
        <v>1934825</v>
      </c>
    </row>
    <row r="74" spans="1:9" x14ac:dyDescent="0.25">
      <c r="A74" s="9">
        <f t="shared" si="1"/>
        <v>73</v>
      </c>
      <c r="B74" s="7">
        <v>76485</v>
      </c>
      <c r="C74" s="2" t="s">
        <v>13</v>
      </c>
      <c r="D74" s="12">
        <v>33084</v>
      </c>
      <c r="E74" s="11" t="s">
        <v>36</v>
      </c>
      <c r="F74" s="2" t="s">
        <v>111</v>
      </c>
      <c r="G74" s="2" t="s">
        <v>112</v>
      </c>
      <c r="H74" s="167">
        <v>-3296</v>
      </c>
      <c r="I74" s="8">
        <v>5643834</v>
      </c>
    </row>
    <row r="75" spans="1:9" x14ac:dyDescent="0.25">
      <c r="A75" s="9">
        <f t="shared" si="1"/>
        <v>74</v>
      </c>
      <c r="B75" s="7">
        <v>77380</v>
      </c>
      <c r="C75" s="2" t="s">
        <v>13</v>
      </c>
      <c r="D75" s="3">
        <v>37858</v>
      </c>
      <c r="E75" s="2" t="s">
        <v>36</v>
      </c>
      <c r="F75" s="2" t="s">
        <v>111</v>
      </c>
      <c r="G75" s="2" t="s">
        <v>113</v>
      </c>
      <c r="H75" s="167">
        <v>-3224</v>
      </c>
      <c r="I75" s="8">
        <v>1488618</v>
      </c>
    </row>
    <row r="76" spans="1:9" x14ac:dyDescent="0.25">
      <c r="A76" s="9">
        <f t="shared" si="1"/>
        <v>75</v>
      </c>
      <c r="B76" s="7">
        <v>98431</v>
      </c>
      <c r="C76" s="2" t="s">
        <v>13</v>
      </c>
      <c r="D76" s="3">
        <v>30939</v>
      </c>
      <c r="E76" s="2" t="s">
        <v>36</v>
      </c>
      <c r="F76" s="2" t="s">
        <v>114</v>
      </c>
      <c r="G76" s="2" t="s">
        <v>115</v>
      </c>
      <c r="H76" s="167">
        <v>-2830</v>
      </c>
      <c r="I76" s="8">
        <v>4213891</v>
      </c>
    </row>
    <row r="77" spans="1:9" x14ac:dyDescent="0.25">
      <c r="A77" s="9">
        <f t="shared" si="1"/>
        <v>76</v>
      </c>
      <c r="B77" s="7">
        <v>64991</v>
      </c>
      <c r="C77" s="2" t="s">
        <v>13</v>
      </c>
      <c r="D77" s="3">
        <v>37596</v>
      </c>
      <c r="E77" s="2" t="s">
        <v>36</v>
      </c>
      <c r="F77" s="2" t="s">
        <v>114</v>
      </c>
      <c r="G77" s="2" t="s">
        <v>116</v>
      </c>
      <c r="H77" s="167">
        <v>-2692</v>
      </c>
      <c r="I77" s="8">
        <v>3259436</v>
      </c>
    </row>
    <row r="78" spans="1:9" x14ac:dyDescent="0.25">
      <c r="A78" s="9">
        <f t="shared" si="1"/>
        <v>77</v>
      </c>
      <c r="B78" s="7">
        <v>27508</v>
      </c>
      <c r="C78" s="2" t="s">
        <v>9</v>
      </c>
      <c r="D78" s="3">
        <v>35204</v>
      </c>
      <c r="E78" s="2" t="s">
        <v>36</v>
      </c>
      <c r="F78" s="2" t="s">
        <v>114</v>
      </c>
      <c r="G78" s="2" t="s">
        <v>117</v>
      </c>
      <c r="H78" s="167">
        <v>-3280</v>
      </c>
      <c r="I78" s="8">
        <v>5160963</v>
      </c>
    </row>
    <row r="79" spans="1:9" x14ac:dyDescent="0.25">
      <c r="A79" s="9">
        <f t="shared" si="1"/>
        <v>78</v>
      </c>
      <c r="B79" s="7">
        <v>34514</v>
      </c>
      <c r="C79" s="2" t="s">
        <v>13</v>
      </c>
      <c r="D79" s="3">
        <v>33539</v>
      </c>
      <c r="E79" s="2" t="s">
        <v>36</v>
      </c>
      <c r="F79" s="2" t="s">
        <v>114</v>
      </c>
      <c r="G79" s="2" t="s">
        <v>118</v>
      </c>
      <c r="H79" s="167">
        <v>-3468</v>
      </c>
      <c r="I79" s="8">
        <v>6020215</v>
      </c>
    </row>
    <row r="80" spans="1:9" x14ac:dyDescent="0.25">
      <c r="A80" s="9">
        <f t="shared" si="1"/>
        <v>79</v>
      </c>
      <c r="B80" s="7">
        <v>60757</v>
      </c>
      <c r="C80" s="2" t="s">
        <v>13</v>
      </c>
      <c r="D80" s="3">
        <v>43568</v>
      </c>
      <c r="E80" s="2" t="s">
        <v>36</v>
      </c>
      <c r="F80" s="2" t="s">
        <v>119</v>
      </c>
      <c r="G80" s="2" t="s">
        <v>120</v>
      </c>
      <c r="H80" s="167">
        <v>-2644</v>
      </c>
      <c r="I80" s="8">
        <v>5158543</v>
      </c>
    </row>
    <row r="81" spans="1:9" x14ac:dyDescent="0.25">
      <c r="A81" s="9">
        <f t="shared" si="1"/>
        <v>80</v>
      </c>
      <c r="B81" s="7">
        <v>75002</v>
      </c>
      <c r="C81" s="2" t="s">
        <v>13</v>
      </c>
      <c r="D81" s="3">
        <v>42708</v>
      </c>
      <c r="E81" s="2" t="s">
        <v>36</v>
      </c>
      <c r="F81" s="2" t="s">
        <v>119</v>
      </c>
      <c r="G81" s="2" t="s">
        <v>121</v>
      </c>
      <c r="H81" s="167">
        <v>-2970</v>
      </c>
      <c r="I81" s="8">
        <v>5818263</v>
      </c>
    </row>
    <row r="82" spans="1:9" x14ac:dyDescent="0.25">
      <c r="A82" s="9">
        <f t="shared" si="1"/>
        <v>81</v>
      </c>
      <c r="B82" s="7">
        <v>75001</v>
      </c>
      <c r="C82" s="2" t="s">
        <v>9</v>
      </c>
      <c r="D82" s="3">
        <v>24716</v>
      </c>
      <c r="E82" s="2" t="s">
        <v>36</v>
      </c>
      <c r="F82" s="2" t="s">
        <v>122</v>
      </c>
      <c r="G82" s="2" t="s">
        <v>123</v>
      </c>
      <c r="H82" s="167">
        <v>-3395</v>
      </c>
      <c r="I82" s="8">
        <v>5633391</v>
      </c>
    </row>
    <row r="83" spans="1:9" x14ac:dyDescent="0.25">
      <c r="A83" s="9">
        <f t="shared" si="1"/>
        <v>82</v>
      </c>
      <c r="B83" s="7">
        <v>76370</v>
      </c>
      <c r="C83" s="2" t="s">
        <v>13</v>
      </c>
      <c r="D83" s="12">
        <v>42452</v>
      </c>
      <c r="E83" s="11" t="s">
        <v>10</v>
      </c>
      <c r="F83" s="11" t="s">
        <v>124</v>
      </c>
      <c r="G83" s="11" t="s">
        <v>125</v>
      </c>
      <c r="H83" s="167">
        <v>-2904</v>
      </c>
      <c r="I83" s="8">
        <v>1899424</v>
      </c>
    </row>
    <row r="84" spans="1:9" x14ac:dyDescent="0.25">
      <c r="A84" s="9">
        <f t="shared" si="1"/>
        <v>83</v>
      </c>
      <c r="B84" s="7">
        <v>69001</v>
      </c>
      <c r="C84" s="2" t="s">
        <v>13</v>
      </c>
      <c r="D84" s="3">
        <v>42286</v>
      </c>
      <c r="E84" s="2" t="s">
        <v>19</v>
      </c>
      <c r="F84" s="2" t="s">
        <v>126</v>
      </c>
      <c r="G84" s="2" t="s">
        <v>127</v>
      </c>
      <c r="H84" s="167">
        <v>-3317</v>
      </c>
      <c r="I84" s="8">
        <v>4853829</v>
      </c>
    </row>
    <row r="85" spans="1:9" x14ac:dyDescent="0.25">
      <c r="A85" s="9">
        <f t="shared" si="1"/>
        <v>84</v>
      </c>
      <c r="B85" s="7">
        <v>77045</v>
      </c>
      <c r="C85" s="2" t="s">
        <v>13</v>
      </c>
      <c r="D85" s="3">
        <v>35738</v>
      </c>
      <c r="E85" s="2" t="s">
        <v>19</v>
      </c>
      <c r="F85" s="2" t="s">
        <v>126</v>
      </c>
      <c r="G85" s="2" t="s">
        <v>128</v>
      </c>
      <c r="H85" s="167">
        <v>-2696</v>
      </c>
      <c r="I85" s="8">
        <v>1227733</v>
      </c>
    </row>
    <row r="86" spans="1:9" x14ac:dyDescent="0.25">
      <c r="A86" s="9">
        <f t="shared" si="1"/>
        <v>85</v>
      </c>
      <c r="B86" s="7">
        <v>74732</v>
      </c>
      <c r="C86" s="2" t="s">
        <v>9</v>
      </c>
      <c r="D86" s="3">
        <v>35881</v>
      </c>
      <c r="E86" s="2" t="s">
        <v>19</v>
      </c>
      <c r="F86" s="2" t="s">
        <v>126</v>
      </c>
      <c r="G86" s="2" t="s">
        <v>129</v>
      </c>
      <c r="H86" s="167">
        <v>-3253</v>
      </c>
      <c r="I86" s="8">
        <v>1693651</v>
      </c>
    </row>
    <row r="87" spans="1:9" x14ac:dyDescent="0.25">
      <c r="A87" s="9">
        <f t="shared" si="1"/>
        <v>86</v>
      </c>
      <c r="B87" s="7">
        <v>66107</v>
      </c>
      <c r="C87" s="2" t="s">
        <v>9</v>
      </c>
      <c r="D87" s="12">
        <v>36011</v>
      </c>
      <c r="E87" s="11" t="s">
        <v>19</v>
      </c>
      <c r="F87" s="2" t="s">
        <v>126</v>
      </c>
      <c r="G87" s="2" t="s">
        <v>130</v>
      </c>
      <c r="H87" s="167">
        <v>-3205</v>
      </c>
      <c r="I87" s="8">
        <v>2867759</v>
      </c>
    </row>
    <row r="88" spans="1:9" x14ac:dyDescent="0.25">
      <c r="A88" s="9">
        <f t="shared" si="1"/>
        <v>87</v>
      </c>
      <c r="B88" s="7">
        <v>32958</v>
      </c>
      <c r="C88" s="2" t="s">
        <v>13</v>
      </c>
      <c r="D88" s="3">
        <v>38512</v>
      </c>
      <c r="E88" s="2" t="s">
        <v>19</v>
      </c>
      <c r="F88" s="2" t="s">
        <v>131</v>
      </c>
      <c r="G88" s="2" t="s">
        <v>132</v>
      </c>
      <c r="H88" s="167">
        <v>-3088</v>
      </c>
      <c r="I88" s="8">
        <v>5096717</v>
      </c>
    </row>
    <row r="89" spans="1:9" x14ac:dyDescent="0.25">
      <c r="A89" s="9">
        <f t="shared" si="1"/>
        <v>88</v>
      </c>
      <c r="B89" s="7">
        <v>90524</v>
      </c>
      <c r="C89" s="2" t="s">
        <v>9</v>
      </c>
      <c r="D89" s="3">
        <v>38740</v>
      </c>
      <c r="E89" s="2" t="s">
        <v>19</v>
      </c>
      <c r="F89" s="2" t="s">
        <v>131</v>
      </c>
      <c r="G89" s="2" t="s">
        <v>133</v>
      </c>
      <c r="H89" s="167">
        <v>-3355</v>
      </c>
      <c r="I89" s="8">
        <v>4558422</v>
      </c>
    </row>
    <row r="90" spans="1:9" x14ac:dyDescent="0.25">
      <c r="A90" s="9">
        <f t="shared" si="1"/>
        <v>89</v>
      </c>
      <c r="B90" s="7">
        <v>97318</v>
      </c>
      <c r="C90" s="2" t="s">
        <v>9</v>
      </c>
      <c r="D90" s="3">
        <v>30788</v>
      </c>
      <c r="E90" s="2" t="s">
        <v>19</v>
      </c>
      <c r="F90" s="2" t="s">
        <v>134</v>
      </c>
      <c r="G90" s="2" t="s">
        <v>135</v>
      </c>
      <c r="H90" s="167">
        <v>-2568</v>
      </c>
      <c r="I90" s="8">
        <v>3099041</v>
      </c>
    </row>
    <row r="91" spans="1:9" x14ac:dyDescent="0.25">
      <c r="A91" s="9">
        <f t="shared" si="1"/>
        <v>90</v>
      </c>
      <c r="B91" s="7">
        <v>94836</v>
      </c>
      <c r="C91" s="2" t="s">
        <v>9</v>
      </c>
      <c r="D91" s="3">
        <v>39249</v>
      </c>
      <c r="E91" s="2" t="s">
        <v>19</v>
      </c>
      <c r="F91" s="2" t="s">
        <v>134</v>
      </c>
      <c r="G91" s="2" t="s">
        <v>136</v>
      </c>
      <c r="H91" s="167">
        <v>-3161</v>
      </c>
      <c r="I91" s="8">
        <v>3373026</v>
      </c>
    </row>
    <row r="92" spans="1:9" x14ac:dyDescent="0.25">
      <c r="A92" s="9">
        <f t="shared" si="1"/>
        <v>91</v>
      </c>
      <c r="B92" s="7">
        <v>70489</v>
      </c>
      <c r="C92" s="2" t="s">
        <v>9</v>
      </c>
      <c r="D92" s="12">
        <v>35439</v>
      </c>
      <c r="E92" s="11" t="s">
        <v>19</v>
      </c>
      <c r="F92" s="11" t="s">
        <v>134</v>
      </c>
      <c r="G92" s="11" t="s">
        <v>137</v>
      </c>
      <c r="H92" s="167">
        <v>-3151</v>
      </c>
      <c r="I92" s="8">
        <v>5020265</v>
      </c>
    </row>
    <row r="93" spans="1:9" x14ac:dyDescent="0.25">
      <c r="A93" s="9">
        <f t="shared" si="1"/>
        <v>92</v>
      </c>
      <c r="B93" s="7">
        <v>31229</v>
      </c>
      <c r="C93" s="2" t="s">
        <v>9</v>
      </c>
      <c r="D93" s="3">
        <v>36276</v>
      </c>
      <c r="E93" s="2" t="s">
        <v>19</v>
      </c>
      <c r="F93" s="2" t="s">
        <v>134</v>
      </c>
      <c r="G93" s="2" t="s">
        <v>138</v>
      </c>
      <c r="H93" s="167">
        <v>-2899</v>
      </c>
      <c r="I93" s="8">
        <v>1466751</v>
      </c>
    </row>
    <row r="94" spans="1:9" x14ac:dyDescent="0.25">
      <c r="A94" s="9">
        <f t="shared" si="1"/>
        <v>93</v>
      </c>
      <c r="B94" s="7">
        <v>21389</v>
      </c>
      <c r="C94" s="2" t="s">
        <v>9</v>
      </c>
      <c r="D94" s="3">
        <v>25973</v>
      </c>
      <c r="E94" s="2" t="s">
        <v>19</v>
      </c>
      <c r="F94" s="2" t="s">
        <v>134</v>
      </c>
      <c r="G94" s="2" t="s">
        <v>139</v>
      </c>
      <c r="H94" s="167">
        <v>-3044</v>
      </c>
      <c r="I94" s="8">
        <v>1622070</v>
      </c>
    </row>
    <row r="95" spans="1:9" x14ac:dyDescent="0.25">
      <c r="A95" s="9">
        <f t="shared" si="1"/>
        <v>94</v>
      </c>
      <c r="B95" s="7">
        <v>49732</v>
      </c>
      <c r="C95" s="2" t="s">
        <v>9</v>
      </c>
      <c r="D95" s="3">
        <v>31413</v>
      </c>
      <c r="E95" s="2" t="s">
        <v>19</v>
      </c>
      <c r="F95" s="2" t="s">
        <v>140</v>
      </c>
      <c r="G95" s="2" t="s">
        <v>141</v>
      </c>
      <c r="H95" s="167">
        <v>-3006</v>
      </c>
      <c r="I95" s="8">
        <v>5306701</v>
      </c>
    </row>
    <row r="96" spans="1:9" x14ac:dyDescent="0.25">
      <c r="A96" s="9">
        <f t="shared" si="1"/>
        <v>95</v>
      </c>
      <c r="B96" s="7">
        <v>76585</v>
      </c>
      <c r="C96" s="2" t="s">
        <v>13</v>
      </c>
      <c r="D96" s="3">
        <v>40528</v>
      </c>
      <c r="E96" s="2" t="s">
        <v>19</v>
      </c>
      <c r="F96" s="2" t="s">
        <v>140</v>
      </c>
      <c r="G96" s="2" t="s">
        <v>142</v>
      </c>
      <c r="H96" s="167">
        <v>-2932</v>
      </c>
      <c r="I96" s="8">
        <v>4474774</v>
      </c>
    </row>
    <row r="97" spans="1:9" x14ac:dyDescent="0.25">
      <c r="A97" s="9">
        <f t="shared" si="1"/>
        <v>96</v>
      </c>
      <c r="B97" s="7">
        <v>98133</v>
      </c>
      <c r="C97" s="2" t="s">
        <v>9</v>
      </c>
      <c r="D97" s="3">
        <v>23908</v>
      </c>
      <c r="E97" s="2" t="s">
        <v>10</v>
      </c>
      <c r="F97" s="2" t="s">
        <v>143</v>
      </c>
      <c r="G97" s="2" t="s">
        <v>144</v>
      </c>
      <c r="H97" s="167">
        <v>-3387</v>
      </c>
      <c r="I97" s="8">
        <v>1723630</v>
      </c>
    </row>
    <row r="98" spans="1:9" x14ac:dyDescent="0.25">
      <c r="A98" s="9">
        <f t="shared" si="1"/>
        <v>97</v>
      </c>
      <c r="B98" s="7">
        <v>86446</v>
      </c>
      <c r="C98" s="2" t="s">
        <v>9</v>
      </c>
      <c r="D98" s="3">
        <v>36713</v>
      </c>
      <c r="E98" s="2" t="s">
        <v>10</v>
      </c>
      <c r="F98" s="2" t="s">
        <v>143</v>
      </c>
      <c r="G98" s="2" t="s">
        <v>145</v>
      </c>
      <c r="H98" s="167">
        <v>-3274</v>
      </c>
      <c r="I98" s="8">
        <v>1120546</v>
      </c>
    </row>
    <row r="99" spans="1:9" x14ac:dyDescent="0.25">
      <c r="A99" s="9">
        <f t="shared" si="1"/>
        <v>98</v>
      </c>
      <c r="B99" s="7">
        <v>86555</v>
      </c>
      <c r="C99" s="2" t="s">
        <v>13</v>
      </c>
      <c r="D99" s="3">
        <v>26468</v>
      </c>
      <c r="E99" s="2" t="s">
        <v>10</v>
      </c>
      <c r="F99" s="2" t="s">
        <v>143</v>
      </c>
      <c r="G99" s="11" t="s">
        <v>146</v>
      </c>
      <c r="H99" s="168">
        <v>-2886</v>
      </c>
      <c r="I99" s="13">
        <v>1569271</v>
      </c>
    </row>
    <row r="100" spans="1:9" x14ac:dyDescent="0.25">
      <c r="A100" s="9">
        <f t="shared" si="1"/>
        <v>99</v>
      </c>
      <c r="B100" s="137">
        <v>75640</v>
      </c>
      <c r="C100" s="2" t="s">
        <v>9</v>
      </c>
      <c r="D100" s="3">
        <v>26901</v>
      </c>
      <c r="E100" s="2" t="s">
        <v>19</v>
      </c>
      <c r="F100" s="2" t="s">
        <v>147</v>
      </c>
      <c r="G100" s="11" t="s">
        <v>148</v>
      </c>
      <c r="H100" s="168">
        <v>-2824</v>
      </c>
      <c r="I100" s="13">
        <v>3125745</v>
      </c>
    </row>
    <row r="101" spans="1:9" ht="18" thickBot="1" x14ac:dyDescent="0.3">
      <c r="A101" s="139">
        <f>ROW()-1</f>
        <v>100</v>
      </c>
      <c r="B101" s="136">
        <v>75641</v>
      </c>
      <c r="C101" s="98" t="s">
        <v>9</v>
      </c>
      <c r="D101" s="135">
        <v>31316</v>
      </c>
      <c r="E101" s="135" t="s">
        <v>19</v>
      </c>
      <c r="F101" s="98" t="s">
        <v>147</v>
      </c>
      <c r="G101" s="134" t="s">
        <v>149</v>
      </c>
      <c r="H101" s="167">
        <v>-3161</v>
      </c>
      <c r="I101" s="8">
        <v>1466751</v>
      </c>
    </row>
  </sheetData>
  <phoneticPr fontId="38" type="noConversion"/>
  <pageMargins left="0.7" right="0.7" top="0.75" bottom="0.75" header="0.3" footer="0.3"/>
  <pageSetup paperSize="9" scale="80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D605-6B31-4FD0-B9A2-0AB14BD9AD5B}">
  <sheetPr codeName="גיליון2">
    <tabColor theme="8" tint="0.59999389629810485"/>
    <pageSetUpPr fitToPage="1"/>
  </sheetPr>
  <dimension ref="A1:K54"/>
  <sheetViews>
    <sheetView rightToLeft="1" workbookViewId="0">
      <pane ySplit="1" topLeftCell="A2" activePane="bottomLeft" state="frozen"/>
      <selection pane="bottomLeft" activeCell="I2" sqref="I2:I54"/>
    </sheetView>
  </sheetViews>
  <sheetFormatPr defaultColWidth="8.796875" defaultRowHeight="17.399999999999999" x14ac:dyDescent="0.25"/>
  <cols>
    <col min="1" max="1" width="17.19921875" style="16" bestFit="1" customWidth="1"/>
    <col min="2" max="2" width="16" style="16" bestFit="1" customWidth="1"/>
    <col min="3" max="3" width="14" style="16" customWidth="1"/>
    <col min="4" max="4" width="31.296875" style="25" bestFit="1" customWidth="1"/>
    <col min="5" max="5" width="15.69921875" style="16" bestFit="1" customWidth="1"/>
    <col min="6" max="6" width="13.69921875" style="16" customWidth="1"/>
    <col min="7" max="7" width="16.09765625" style="26" bestFit="1" customWidth="1"/>
    <col min="8" max="8" width="10.09765625" style="16" customWidth="1"/>
    <col min="9" max="9" width="22.296875" style="29" bestFit="1" customWidth="1"/>
    <col min="10" max="16384" width="8.796875" style="16"/>
  </cols>
  <sheetData>
    <row r="1" spans="1:11" x14ac:dyDescent="0.3">
      <c r="A1" s="99" t="s">
        <v>0</v>
      </c>
      <c r="B1" s="100" t="s">
        <v>150</v>
      </c>
      <c r="C1" s="100" t="s">
        <v>151</v>
      </c>
      <c r="D1" s="101" t="s">
        <v>152</v>
      </c>
      <c r="E1" s="100" t="s">
        <v>153</v>
      </c>
      <c r="F1" s="100" t="s">
        <v>154</v>
      </c>
      <c r="G1" s="102" t="s">
        <v>155</v>
      </c>
      <c r="H1" s="103" t="s">
        <v>156</v>
      </c>
      <c r="I1" s="104" t="s">
        <v>157</v>
      </c>
    </row>
    <row r="2" spans="1:11" x14ac:dyDescent="0.25">
      <c r="A2" s="17">
        <v>1</v>
      </c>
      <c r="B2" s="18" t="s">
        <v>158</v>
      </c>
      <c r="C2" s="18">
        <v>523547813</v>
      </c>
      <c r="D2" s="19" t="s">
        <v>159</v>
      </c>
      <c r="E2" s="20" t="s">
        <v>49</v>
      </c>
      <c r="F2" s="20">
        <v>245283075</v>
      </c>
      <c r="G2" s="21">
        <v>32377</v>
      </c>
      <c r="H2" s="22">
        <f ca="1">DATEDIF(G2,TODAY(),"Y")</f>
        <v>33</v>
      </c>
      <c r="I2" s="169">
        <v>-247</v>
      </c>
    </row>
    <row r="3" spans="1:11" x14ac:dyDescent="0.25">
      <c r="A3" s="23">
        <v>2</v>
      </c>
      <c r="B3" s="20" t="s">
        <v>160</v>
      </c>
      <c r="C3" s="20">
        <v>524673620</v>
      </c>
      <c r="D3" s="24" t="s">
        <v>161</v>
      </c>
      <c r="E3" s="20" t="s">
        <v>49</v>
      </c>
      <c r="F3" s="20">
        <v>245283076</v>
      </c>
      <c r="G3" s="21">
        <v>32743</v>
      </c>
      <c r="H3" s="22">
        <f ca="1">DATEDIF(G3,TODAY(),"Y")</f>
        <v>32</v>
      </c>
      <c r="I3" s="169">
        <v>-246</v>
      </c>
    </row>
    <row r="4" spans="1:11" x14ac:dyDescent="0.25">
      <c r="A4" s="23">
        <v>3</v>
      </c>
      <c r="B4" s="20" t="s">
        <v>162</v>
      </c>
      <c r="C4" s="20">
        <v>523158413</v>
      </c>
      <c r="D4" s="24" t="s">
        <v>163</v>
      </c>
      <c r="E4" s="20" t="s">
        <v>58</v>
      </c>
      <c r="F4" s="20">
        <v>249722653</v>
      </c>
      <c r="G4" s="21">
        <v>27301</v>
      </c>
      <c r="H4" s="22">
        <f ca="1">DATEDIF(G4,TODAY(),"Y")</f>
        <v>47</v>
      </c>
      <c r="I4" s="169">
        <v>-219</v>
      </c>
    </row>
    <row r="5" spans="1:11" x14ac:dyDescent="0.25">
      <c r="A5" s="23">
        <v>4</v>
      </c>
      <c r="B5" s="20" t="s">
        <v>164</v>
      </c>
      <c r="C5" s="20">
        <v>542992020</v>
      </c>
      <c r="D5" s="24" t="s">
        <v>165</v>
      </c>
      <c r="E5" s="20" t="s">
        <v>32</v>
      </c>
      <c r="F5" s="20">
        <v>235360276</v>
      </c>
      <c r="G5" s="21">
        <v>35562</v>
      </c>
      <c r="H5" s="22">
        <f ca="1">DATEDIF(G5,TODAY(),"Y")</f>
        <v>24</v>
      </c>
      <c r="I5" s="169">
        <v>-477</v>
      </c>
    </row>
    <row r="6" spans="1:11" x14ac:dyDescent="0.25">
      <c r="A6" s="23">
        <v>5</v>
      </c>
      <c r="B6" s="20" t="s">
        <v>166</v>
      </c>
      <c r="C6" s="20">
        <v>543369782</v>
      </c>
      <c r="D6" s="24" t="s">
        <v>167</v>
      </c>
      <c r="E6" s="20" t="s">
        <v>73</v>
      </c>
      <c r="F6" s="20">
        <v>242779458</v>
      </c>
      <c r="G6" s="21" t="s">
        <v>168</v>
      </c>
      <c r="H6" s="22">
        <v>33</v>
      </c>
      <c r="I6" s="169">
        <v>-215</v>
      </c>
    </row>
    <row r="7" spans="1:11" x14ac:dyDescent="0.25">
      <c r="A7" s="23">
        <v>6</v>
      </c>
      <c r="B7" s="20" t="s">
        <v>169</v>
      </c>
      <c r="C7" s="20">
        <v>526071723</v>
      </c>
      <c r="D7" s="24" t="s">
        <v>170</v>
      </c>
      <c r="E7" s="20" t="s">
        <v>140</v>
      </c>
      <c r="F7" s="20">
        <v>236696448</v>
      </c>
      <c r="G7" s="21">
        <v>29977</v>
      </c>
      <c r="H7" s="22">
        <f t="shared" ref="H7:H54" ca="1" si="0">DATEDIF(G7,TODAY(),"Y")</f>
        <v>39</v>
      </c>
      <c r="I7" s="169">
        <v>-487</v>
      </c>
    </row>
    <row r="8" spans="1:11" x14ac:dyDescent="0.25">
      <c r="A8" s="23">
        <v>7</v>
      </c>
      <c r="B8" s="20" t="s">
        <v>171</v>
      </c>
      <c r="C8" s="20">
        <v>524927101</v>
      </c>
      <c r="D8" s="24" t="s">
        <v>172</v>
      </c>
      <c r="E8" s="20" t="s">
        <v>81</v>
      </c>
      <c r="F8" s="20">
        <v>275296985</v>
      </c>
      <c r="G8" s="21">
        <v>35445</v>
      </c>
      <c r="H8" s="22">
        <f t="shared" ca="1" si="0"/>
        <v>24</v>
      </c>
      <c r="I8" s="169">
        <v>-459</v>
      </c>
    </row>
    <row r="9" spans="1:11" x14ac:dyDescent="0.25">
      <c r="A9" s="23">
        <v>8</v>
      </c>
      <c r="B9" s="20" t="s">
        <v>173</v>
      </c>
      <c r="C9" s="20">
        <v>544870192</v>
      </c>
      <c r="D9" s="24" t="s">
        <v>174</v>
      </c>
      <c r="E9" s="20" t="s">
        <v>97</v>
      </c>
      <c r="F9" s="20">
        <v>215983647</v>
      </c>
      <c r="G9" s="21">
        <v>26038</v>
      </c>
      <c r="H9" s="22">
        <f t="shared" ca="1" si="0"/>
        <v>50</v>
      </c>
      <c r="I9" s="169">
        <v>-204</v>
      </c>
      <c r="K9" s="27"/>
    </row>
    <row r="10" spans="1:11" x14ac:dyDescent="0.25">
      <c r="A10" s="23">
        <v>9</v>
      </c>
      <c r="B10" s="20" t="s">
        <v>175</v>
      </c>
      <c r="C10" s="20">
        <v>544623630</v>
      </c>
      <c r="D10" s="24" t="s">
        <v>176</v>
      </c>
      <c r="E10" s="20" t="s">
        <v>62</v>
      </c>
      <c r="F10" s="20">
        <v>235157353</v>
      </c>
      <c r="G10" s="21">
        <v>28275</v>
      </c>
      <c r="H10" s="22">
        <f t="shared" ca="1" si="0"/>
        <v>44</v>
      </c>
      <c r="I10" s="169">
        <v>-301</v>
      </c>
      <c r="K10" s="27"/>
    </row>
    <row r="11" spans="1:11" x14ac:dyDescent="0.25">
      <c r="A11" s="23">
        <v>10</v>
      </c>
      <c r="B11" s="20" t="s">
        <v>177</v>
      </c>
      <c r="C11" s="20">
        <v>548913491</v>
      </c>
      <c r="D11" s="24" t="s">
        <v>178</v>
      </c>
      <c r="E11" s="20" t="s">
        <v>17</v>
      </c>
      <c r="F11" s="20">
        <v>266237068</v>
      </c>
      <c r="G11" s="21">
        <v>31263</v>
      </c>
      <c r="H11" s="22">
        <f t="shared" ca="1" si="0"/>
        <v>36</v>
      </c>
      <c r="I11" s="169">
        <v>-240</v>
      </c>
    </row>
    <row r="12" spans="1:11" x14ac:dyDescent="0.25">
      <c r="A12" s="23">
        <v>11</v>
      </c>
      <c r="B12" s="20" t="s">
        <v>179</v>
      </c>
      <c r="C12" s="20">
        <v>542389047</v>
      </c>
      <c r="D12" s="24" t="s">
        <v>180</v>
      </c>
      <c r="E12" s="20" t="s">
        <v>29</v>
      </c>
      <c r="F12" s="20">
        <v>310287459</v>
      </c>
      <c r="G12" s="21">
        <v>30843</v>
      </c>
      <c r="H12" s="22">
        <f t="shared" ca="1" si="0"/>
        <v>37</v>
      </c>
      <c r="I12" s="169">
        <v>-441</v>
      </c>
    </row>
    <row r="13" spans="1:11" x14ac:dyDescent="0.25">
      <c r="A13" s="23">
        <v>12</v>
      </c>
      <c r="B13" s="20" t="s">
        <v>181</v>
      </c>
      <c r="C13" s="20">
        <v>533144795</v>
      </c>
      <c r="D13" s="24" t="s">
        <v>182</v>
      </c>
      <c r="E13" s="20" t="s">
        <v>108</v>
      </c>
      <c r="F13" s="20">
        <v>204915738</v>
      </c>
      <c r="G13" s="21">
        <v>34268</v>
      </c>
      <c r="H13" s="22">
        <f t="shared" ca="1" si="0"/>
        <v>28</v>
      </c>
      <c r="I13" s="169">
        <v>-268</v>
      </c>
    </row>
    <row r="14" spans="1:11" x14ac:dyDescent="0.25">
      <c r="A14" s="23">
        <v>13</v>
      </c>
      <c r="B14" s="20" t="s">
        <v>183</v>
      </c>
      <c r="C14" s="20">
        <v>528576001</v>
      </c>
      <c r="D14" s="24" t="s">
        <v>184</v>
      </c>
      <c r="E14" s="20" t="s">
        <v>140</v>
      </c>
      <c r="F14" s="20">
        <v>266946494</v>
      </c>
      <c r="G14" s="21">
        <v>34926</v>
      </c>
      <c r="H14" s="22">
        <f t="shared" ca="1" si="0"/>
        <v>26</v>
      </c>
      <c r="I14" s="169">
        <v>-410</v>
      </c>
      <c r="K14" s="28"/>
    </row>
    <row r="15" spans="1:11" x14ac:dyDescent="0.25">
      <c r="A15" s="23">
        <v>14</v>
      </c>
      <c r="B15" s="20" t="s">
        <v>185</v>
      </c>
      <c r="C15" s="20">
        <v>527261809</v>
      </c>
      <c r="D15" s="24" t="s">
        <v>186</v>
      </c>
      <c r="E15" s="20" t="s">
        <v>42</v>
      </c>
      <c r="F15" s="20">
        <v>250284749</v>
      </c>
      <c r="G15" s="21">
        <v>30134</v>
      </c>
      <c r="H15" s="22">
        <f t="shared" ca="1" si="0"/>
        <v>39</v>
      </c>
      <c r="I15" s="169">
        <v>-284</v>
      </c>
    </row>
    <row r="16" spans="1:11" x14ac:dyDescent="0.25">
      <c r="A16" s="23">
        <v>15</v>
      </c>
      <c r="B16" s="20" t="s">
        <v>187</v>
      </c>
      <c r="C16" s="20">
        <v>538640743</v>
      </c>
      <c r="D16" s="24" t="s">
        <v>188</v>
      </c>
      <c r="E16" s="20" t="s">
        <v>124</v>
      </c>
      <c r="F16" s="20">
        <v>293478950</v>
      </c>
      <c r="G16" s="21">
        <v>27592</v>
      </c>
      <c r="H16" s="22">
        <f t="shared" ca="1" si="0"/>
        <v>46</v>
      </c>
      <c r="I16" s="169">
        <v>-341</v>
      </c>
    </row>
    <row r="17" spans="1:9" x14ac:dyDescent="0.25">
      <c r="A17" s="23">
        <v>16</v>
      </c>
      <c r="B17" s="20" t="s">
        <v>189</v>
      </c>
      <c r="C17" s="20">
        <v>532591599</v>
      </c>
      <c r="D17" s="24" t="s">
        <v>190</v>
      </c>
      <c r="E17" s="20" t="s">
        <v>122</v>
      </c>
      <c r="F17" s="20">
        <v>239395093</v>
      </c>
      <c r="G17" s="21">
        <v>26793</v>
      </c>
      <c r="H17" s="22">
        <f t="shared" ca="1" si="0"/>
        <v>48</v>
      </c>
      <c r="I17" s="169">
        <v>-231</v>
      </c>
    </row>
    <row r="18" spans="1:9" x14ac:dyDescent="0.25">
      <c r="A18" s="23">
        <v>17</v>
      </c>
      <c r="B18" s="20" t="s">
        <v>191</v>
      </c>
      <c r="C18" s="20">
        <v>535279448</v>
      </c>
      <c r="D18" s="24" t="s">
        <v>192</v>
      </c>
      <c r="E18" s="20" t="s">
        <v>62</v>
      </c>
      <c r="F18" s="20">
        <v>336419479</v>
      </c>
      <c r="G18" s="21">
        <v>32700</v>
      </c>
      <c r="H18" s="22">
        <f t="shared" ca="1" si="0"/>
        <v>32</v>
      </c>
      <c r="I18" s="169">
        <v>-245</v>
      </c>
    </row>
    <row r="19" spans="1:9" x14ac:dyDescent="0.25">
      <c r="A19" s="23">
        <v>18</v>
      </c>
      <c r="B19" s="20" t="s">
        <v>193</v>
      </c>
      <c r="C19" s="20">
        <v>534265796</v>
      </c>
      <c r="D19" s="24" t="s">
        <v>194</v>
      </c>
      <c r="E19" s="20" t="s">
        <v>62</v>
      </c>
      <c r="F19" s="20">
        <v>255248467</v>
      </c>
      <c r="G19" s="21">
        <v>26765</v>
      </c>
      <c r="H19" s="22">
        <f t="shared" ca="1" si="0"/>
        <v>48</v>
      </c>
      <c r="I19" s="169">
        <v>-331</v>
      </c>
    </row>
    <row r="20" spans="1:9" x14ac:dyDescent="0.25">
      <c r="A20" s="23">
        <v>19</v>
      </c>
      <c r="B20" s="20" t="s">
        <v>195</v>
      </c>
      <c r="C20" s="20">
        <v>535639667</v>
      </c>
      <c r="D20" s="24" t="s">
        <v>196</v>
      </c>
      <c r="E20" s="20" t="s">
        <v>62</v>
      </c>
      <c r="F20" s="20">
        <v>306850801</v>
      </c>
      <c r="G20" s="21">
        <v>31617</v>
      </c>
      <c r="H20" s="22">
        <f t="shared" ca="1" si="0"/>
        <v>35</v>
      </c>
      <c r="I20" s="169">
        <v>-422</v>
      </c>
    </row>
    <row r="21" spans="1:9" x14ac:dyDescent="0.25">
      <c r="A21" s="23">
        <v>20</v>
      </c>
      <c r="B21" s="20" t="s">
        <v>197</v>
      </c>
      <c r="C21" s="20">
        <v>534001605</v>
      </c>
      <c r="D21" s="24" t="s">
        <v>198</v>
      </c>
      <c r="E21" s="20" t="s">
        <v>62</v>
      </c>
      <c r="F21" s="20">
        <v>257725453</v>
      </c>
      <c r="G21" s="21">
        <v>32215</v>
      </c>
      <c r="H21" s="22">
        <f t="shared" ca="1" si="0"/>
        <v>33</v>
      </c>
      <c r="I21" s="169">
        <v>-239</v>
      </c>
    </row>
    <row r="22" spans="1:9" x14ac:dyDescent="0.25">
      <c r="A22" s="23">
        <v>21</v>
      </c>
      <c r="B22" s="20" t="s">
        <v>199</v>
      </c>
      <c r="C22" s="20">
        <v>532568274</v>
      </c>
      <c r="D22" s="24" t="s">
        <v>200</v>
      </c>
      <c r="E22" s="20" t="s">
        <v>147</v>
      </c>
      <c r="F22" s="20">
        <v>213540317</v>
      </c>
      <c r="G22" s="21">
        <v>28334</v>
      </c>
      <c r="H22" s="22">
        <f t="shared" ca="1" si="0"/>
        <v>44</v>
      </c>
      <c r="I22" s="169">
        <v>-202</v>
      </c>
    </row>
    <row r="23" spans="1:9" x14ac:dyDescent="0.25">
      <c r="A23" s="23">
        <v>22</v>
      </c>
      <c r="B23" s="20" t="s">
        <v>201</v>
      </c>
      <c r="C23" s="20">
        <v>538189484</v>
      </c>
      <c r="D23" s="24" t="s">
        <v>202</v>
      </c>
      <c r="E23" s="20" t="s">
        <v>111</v>
      </c>
      <c r="F23" s="20">
        <v>345477455</v>
      </c>
      <c r="G23" s="21">
        <v>35511</v>
      </c>
      <c r="H23" s="22">
        <f t="shared" ca="1" si="0"/>
        <v>24</v>
      </c>
      <c r="I23" s="169">
        <v>-425</v>
      </c>
    </row>
    <row r="24" spans="1:9" x14ac:dyDescent="0.25">
      <c r="A24" s="23">
        <v>23</v>
      </c>
      <c r="B24" s="20" t="s">
        <v>203</v>
      </c>
      <c r="C24" s="20">
        <v>533338620</v>
      </c>
      <c r="D24" s="24" t="s">
        <v>204</v>
      </c>
      <c r="E24" s="20" t="s">
        <v>44</v>
      </c>
      <c r="F24" s="20">
        <v>326808396</v>
      </c>
      <c r="G24" s="21">
        <v>34782</v>
      </c>
      <c r="H24" s="22">
        <f t="shared" ca="1" si="0"/>
        <v>26</v>
      </c>
      <c r="I24" s="169">
        <v>-308</v>
      </c>
    </row>
    <row r="25" spans="1:9" x14ac:dyDescent="0.25">
      <c r="A25" s="23">
        <v>24</v>
      </c>
      <c r="B25" s="20" t="s">
        <v>205</v>
      </c>
      <c r="C25" s="20">
        <v>543162004</v>
      </c>
      <c r="D25" s="24" t="s">
        <v>206</v>
      </c>
      <c r="E25" s="20" t="s">
        <v>40</v>
      </c>
      <c r="F25" s="20">
        <v>205981944</v>
      </c>
      <c r="G25" s="21">
        <v>34322</v>
      </c>
      <c r="H25" s="22">
        <f t="shared" ca="1" si="0"/>
        <v>28</v>
      </c>
      <c r="I25" s="169">
        <v>-211</v>
      </c>
    </row>
    <row r="26" spans="1:9" x14ac:dyDescent="0.25">
      <c r="A26" s="23">
        <v>25</v>
      </c>
      <c r="B26" s="20" t="s">
        <v>207</v>
      </c>
      <c r="C26" s="20">
        <v>544845530</v>
      </c>
      <c r="D26" s="24" t="s">
        <v>208</v>
      </c>
      <c r="E26" s="20" t="s">
        <v>106</v>
      </c>
      <c r="F26" s="20">
        <v>287767431</v>
      </c>
      <c r="G26" s="21">
        <v>33746</v>
      </c>
      <c r="H26" s="22">
        <f t="shared" ca="1" si="0"/>
        <v>29</v>
      </c>
      <c r="I26" s="169">
        <v>-222</v>
      </c>
    </row>
    <row r="27" spans="1:9" x14ac:dyDescent="0.25">
      <c r="A27" s="23">
        <v>26</v>
      </c>
      <c r="B27" s="20" t="s">
        <v>209</v>
      </c>
      <c r="C27" s="20">
        <v>526432334</v>
      </c>
      <c r="D27" s="24" t="s">
        <v>210</v>
      </c>
      <c r="E27" s="20" t="s">
        <v>47</v>
      </c>
      <c r="F27" s="20">
        <v>273574206</v>
      </c>
      <c r="G27" s="21">
        <v>30364</v>
      </c>
      <c r="H27" s="22">
        <f t="shared" ca="1" si="0"/>
        <v>38</v>
      </c>
      <c r="I27" s="169">
        <v>-390</v>
      </c>
    </row>
    <row r="28" spans="1:9" x14ac:dyDescent="0.25">
      <c r="A28" s="23">
        <v>27</v>
      </c>
      <c r="B28" s="20" t="s">
        <v>211</v>
      </c>
      <c r="C28" s="20">
        <v>546382897</v>
      </c>
      <c r="D28" s="24" t="s">
        <v>212</v>
      </c>
      <c r="E28" s="20" t="s">
        <v>60</v>
      </c>
      <c r="F28" s="20">
        <v>223395889</v>
      </c>
      <c r="G28" s="21">
        <v>34502</v>
      </c>
      <c r="H28" s="22">
        <f t="shared" ca="1" si="0"/>
        <v>27</v>
      </c>
      <c r="I28" s="169">
        <v>-348</v>
      </c>
    </row>
    <row r="29" spans="1:9" x14ac:dyDescent="0.25">
      <c r="A29" s="23">
        <v>28</v>
      </c>
      <c r="B29" s="20" t="s">
        <v>213</v>
      </c>
      <c r="C29" s="20">
        <v>547990720</v>
      </c>
      <c r="D29" s="24" t="s">
        <v>214</v>
      </c>
      <c r="E29" s="20" t="s">
        <v>49</v>
      </c>
      <c r="F29" s="20">
        <v>305048686</v>
      </c>
      <c r="G29" s="21">
        <v>26028</v>
      </c>
      <c r="H29" s="22">
        <f t="shared" ca="1" si="0"/>
        <v>50</v>
      </c>
      <c r="I29" s="169">
        <v>-236</v>
      </c>
    </row>
    <row r="30" spans="1:9" x14ac:dyDescent="0.25">
      <c r="A30" s="23">
        <v>29</v>
      </c>
      <c r="B30" s="20" t="s">
        <v>215</v>
      </c>
      <c r="C30" s="20">
        <v>534508443</v>
      </c>
      <c r="D30" s="24" t="s">
        <v>216</v>
      </c>
      <c r="E30" s="20" t="s">
        <v>20</v>
      </c>
      <c r="F30" s="20">
        <v>313396375</v>
      </c>
      <c r="G30" s="21">
        <v>32626</v>
      </c>
      <c r="H30" s="22">
        <f t="shared" ca="1" si="0"/>
        <v>32</v>
      </c>
      <c r="I30" s="169">
        <v>-359</v>
      </c>
    </row>
    <row r="31" spans="1:9" x14ac:dyDescent="0.25">
      <c r="A31" s="23">
        <v>30</v>
      </c>
      <c r="B31" s="20" t="s">
        <v>217</v>
      </c>
      <c r="C31" s="20">
        <v>504422932</v>
      </c>
      <c r="D31" s="24" t="s">
        <v>218</v>
      </c>
      <c r="E31" s="20" t="s">
        <v>114</v>
      </c>
      <c r="F31" s="20">
        <v>245723627</v>
      </c>
      <c r="G31" s="21">
        <v>32649</v>
      </c>
      <c r="H31" s="22">
        <f t="shared" ca="1" si="0"/>
        <v>32</v>
      </c>
      <c r="I31" s="169">
        <v>-494</v>
      </c>
    </row>
    <row r="32" spans="1:9" x14ac:dyDescent="0.25">
      <c r="A32" s="23">
        <v>31</v>
      </c>
      <c r="B32" s="20" t="s">
        <v>219</v>
      </c>
      <c r="C32" s="20">
        <v>507065762</v>
      </c>
      <c r="D32" s="24" t="s">
        <v>220</v>
      </c>
      <c r="E32" s="20" t="s">
        <v>11</v>
      </c>
      <c r="F32" s="20">
        <v>257580784</v>
      </c>
      <c r="G32" s="21">
        <v>32356</v>
      </c>
      <c r="H32" s="22">
        <f t="shared" ca="1" si="0"/>
        <v>33</v>
      </c>
      <c r="I32" s="169">
        <v>-206</v>
      </c>
    </row>
    <row r="33" spans="1:9" x14ac:dyDescent="0.25">
      <c r="A33" s="23">
        <v>32</v>
      </c>
      <c r="B33" s="20" t="s">
        <v>221</v>
      </c>
      <c r="C33" s="20">
        <v>506351738</v>
      </c>
      <c r="D33" s="24" t="s">
        <v>222</v>
      </c>
      <c r="E33" s="20" t="s">
        <v>92</v>
      </c>
      <c r="F33" s="20">
        <v>221481496</v>
      </c>
      <c r="G33" s="21">
        <v>29078</v>
      </c>
      <c r="H33" s="22">
        <f t="shared" ca="1" si="0"/>
        <v>42</v>
      </c>
      <c r="I33" s="169">
        <v>-341</v>
      </c>
    </row>
    <row r="34" spans="1:9" x14ac:dyDescent="0.25">
      <c r="A34" s="23">
        <v>33</v>
      </c>
      <c r="B34" s="20" t="s">
        <v>223</v>
      </c>
      <c r="C34" s="20">
        <v>506272773</v>
      </c>
      <c r="D34" s="24" t="s">
        <v>224</v>
      </c>
      <c r="E34" s="20" t="s">
        <v>37</v>
      </c>
      <c r="F34" s="20">
        <v>329517151</v>
      </c>
      <c r="G34" s="21">
        <v>27786</v>
      </c>
      <c r="H34" s="22">
        <f t="shared" ca="1" si="0"/>
        <v>45</v>
      </c>
      <c r="I34" s="169">
        <v>-290</v>
      </c>
    </row>
    <row r="35" spans="1:9" x14ac:dyDescent="0.25">
      <c r="A35" s="23">
        <v>34</v>
      </c>
      <c r="B35" s="20" t="s">
        <v>225</v>
      </c>
      <c r="C35" s="20">
        <v>505872258</v>
      </c>
      <c r="D35" s="24" t="s">
        <v>226</v>
      </c>
      <c r="E35" s="20" t="s">
        <v>26</v>
      </c>
      <c r="F35" s="20">
        <v>313979815</v>
      </c>
      <c r="G35" s="21">
        <v>25842</v>
      </c>
      <c r="H35" s="22">
        <f t="shared" ca="1" si="0"/>
        <v>51</v>
      </c>
      <c r="I35" s="169">
        <v>-348</v>
      </c>
    </row>
    <row r="36" spans="1:9" x14ac:dyDescent="0.25">
      <c r="A36" s="23">
        <v>35</v>
      </c>
      <c r="B36" s="20" t="s">
        <v>227</v>
      </c>
      <c r="C36" s="20">
        <v>505400005</v>
      </c>
      <c r="D36" s="24" t="s">
        <v>228</v>
      </c>
      <c r="E36" s="20" t="s">
        <v>11</v>
      </c>
      <c r="F36" s="20">
        <v>246343813</v>
      </c>
      <c r="G36" s="21">
        <v>32087</v>
      </c>
      <c r="H36" s="22">
        <f t="shared" ca="1" si="0"/>
        <v>34</v>
      </c>
      <c r="I36" s="169">
        <v>-318</v>
      </c>
    </row>
    <row r="37" spans="1:9" x14ac:dyDescent="0.25">
      <c r="A37" s="23">
        <v>36</v>
      </c>
      <c r="B37" s="20" t="s">
        <v>229</v>
      </c>
      <c r="C37" s="20">
        <v>506202348</v>
      </c>
      <c r="D37" s="24" t="s">
        <v>230</v>
      </c>
      <c r="E37" s="20" t="s">
        <v>143</v>
      </c>
      <c r="F37" s="20">
        <v>282542704</v>
      </c>
      <c r="G37" s="21">
        <v>32245</v>
      </c>
      <c r="H37" s="22">
        <f t="shared" ca="1" si="0"/>
        <v>33</v>
      </c>
      <c r="I37" s="169">
        <v>-307</v>
      </c>
    </row>
    <row r="38" spans="1:9" x14ac:dyDescent="0.25">
      <c r="A38" s="23">
        <v>37</v>
      </c>
      <c r="B38" s="20" t="s">
        <v>231</v>
      </c>
      <c r="C38" s="20">
        <v>506220988</v>
      </c>
      <c r="D38" s="24" t="s">
        <v>232</v>
      </c>
      <c r="E38" s="20" t="s">
        <v>92</v>
      </c>
      <c r="F38" s="20">
        <v>289552834</v>
      </c>
      <c r="G38" s="21">
        <v>31308</v>
      </c>
      <c r="H38" s="22">
        <f t="shared" ca="1" si="0"/>
        <v>36</v>
      </c>
      <c r="I38" s="169">
        <v>-438</v>
      </c>
    </row>
    <row r="39" spans="1:9" x14ac:dyDescent="0.25">
      <c r="A39" s="23">
        <v>38</v>
      </c>
      <c r="B39" s="20" t="s">
        <v>233</v>
      </c>
      <c r="C39" s="20">
        <v>507431047</v>
      </c>
      <c r="D39" s="24" t="s">
        <v>234</v>
      </c>
      <c r="E39" s="20" t="s">
        <v>114</v>
      </c>
      <c r="F39" s="20">
        <v>205291426</v>
      </c>
      <c r="G39" s="21">
        <v>34922</v>
      </c>
      <c r="H39" s="22">
        <f t="shared" ca="1" si="0"/>
        <v>26</v>
      </c>
      <c r="I39" s="169">
        <v>-259</v>
      </c>
    </row>
    <row r="40" spans="1:9" x14ac:dyDescent="0.25">
      <c r="A40" s="23">
        <v>39</v>
      </c>
      <c r="B40" s="20" t="s">
        <v>235</v>
      </c>
      <c r="C40" s="20">
        <v>526194791</v>
      </c>
      <c r="D40" s="24" t="s">
        <v>236</v>
      </c>
      <c r="E40" s="20" t="s">
        <v>134</v>
      </c>
      <c r="F40" s="20">
        <v>267823550</v>
      </c>
      <c r="G40" s="21">
        <v>32729</v>
      </c>
      <c r="H40" s="22">
        <f t="shared" ca="1" si="0"/>
        <v>32</v>
      </c>
      <c r="I40" s="169">
        <v>-363</v>
      </c>
    </row>
    <row r="41" spans="1:9" x14ac:dyDescent="0.25">
      <c r="A41" s="23">
        <v>40</v>
      </c>
      <c r="B41" s="20" t="s">
        <v>237</v>
      </c>
      <c r="C41" s="20">
        <v>525559791</v>
      </c>
      <c r="D41" s="24" t="s">
        <v>238</v>
      </c>
      <c r="E41" s="20" t="s">
        <v>239</v>
      </c>
      <c r="F41" s="20">
        <v>212345550</v>
      </c>
      <c r="G41" s="21">
        <v>32051</v>
      </c>
      <c r="H41" s="22">
        <f t="shared" ca="1" si="0"/>
        <v>34</v>
      </c>
      <c r="I41" s="169">
        <v>-378</v>
      </c>
    </row>
    <row r="42" spans="1:9" x14ac:dyDescent="0.25">
      <c r="A42" s="23">
        <v>41</v>
      </c>
      <c r="B42" s="20" t="s">
        <v>240</v>
      </c>
      <c r="C42" s="20">
        <v>501312532</v>
      </c>
      <c r="D42" s="24" t="s">
        <v>241</v>
      </c>
      <c r="E42" s="20" t="s">
        <v>20</v>
      </c>
      <c r="F42" s="20">
        <v>283456704</v>
      </c>
      <c r="G42" s="21">
        <v>27122</v>
      </c>
      <c r="H42" s="22">
        <f t="shared" ca="1" si="0"/>
        <v>47</v>
      </c>
      <c r="I42" s="169">
        <v>-377</v>
      </c>
    </row>
    <row r="43" spans="1:9" x14ac:dyDescent="0.25">
      <c r="A43" s="23">
        <v>42</v>
      </c>
      <c r="B43" s="20" t="s">
        <v>242</v>
      </c>
      <c r="C43" s="20">
        <v>507124662</v>
      </c>
      <c r="D43" s="24" t="s">
        <v>243</v>
      </c>
      <c r="E43" s="20" t="s">
        <v>104</v>
      </c>
      <c r="F43" s="20">
        <v>267488434</v>
      </c>
      <c r="G43" s="21">
        <v>34769</v>
      </c>
      <c r="H43" s="22">
        <f t="shared" ca="1" si="0"/>
        <v>26</v>
      </c>
      <c r="I43" s="169">
        <v>-436</v>
      </c>
    </row>
    <row r="44" spans="1:9" x14ac:dyDescent="0.25">
      <c r="A44" s="23">
        <v>43</v>
      </c>
      <c r="B44" s="20" t="s">
        <v>244</v>
      </c>
      <c r="C44" s="20">
        <v>503531738</v>
      </c>
      <c r="D44" s="24" t="s">
        <v>245</v>
      </c>
      <c r="E44" s="20" t="s">
        <v>86</v>
      </c>
      <c r="F44" s="20">
        <v>246784687</v>
      </c>
      <c r="G44" s="21">
        <v>27520</v>
      </c>
      <c r="H44" s="22">
        <f t="shared" ca="1" si="0"/>
        <v>46</v>
      </c>
      <c r="I44" s="169">
        <v>-497</v>
      </c>
    </row>
    <row r="45" spans="1:9" x14ac:dyDescent="0.25">
      <c r="A45" s="23">
        <v>44</v>
      </c>
      <c r="B45" s="20" t="s">
        <v>246</v>
      </c>
      <c r="C45" s="20">
        <v>506784273</v>
      </c>
      <c r="D45" s="24" t="s">
        <v>247</v>
      </c>
      <c r="E45" s="20" t="s">
        <v>119</v>
      </c>
      <c r="F45" s="20">
        <v>246784670</v>
      </c>
      <c r="G45" s="21">
        <v>32519</v>
      </c>
      <c r="H45" s="22">
        <f t="shared" ca="1" si="0"/>
        <v>32</v>
      </c>
      <c r="I45" s="169">
        <v>-266</v>
      </c>
    </row>
    <row r="46" spans="1:9" x14ac:dyDescent="0.25">
      <c r="A46" s="23">
        <v>45</v>
      </c>
      <c r="B46" s="20" t="s">
        <v>248</v>
      </c>
      <c r="C46" s="20">
        <v>505812158</v>
      </c>
      <c r="D46" s="24" t="s">
        <v>249</v>
      </c>
      <c r="E46" s="20" t="s">
        <v>99</v>
      </c>
      <c r="F46" s="20">
        <v>202345995</v>
      </c>
      <c r="G46" s="21">
        <v>33885</v>
      </c>
      <c r="H46" s="22">
        <f t="shared" ca="1" si="0"/>
        <v>29</v>
      </c>
      <c r="I46" s="169">
        <v>-445</v>
      </c>
    </row>
    <row r="47" spans="1:9" x14ac:dyDescent="0.25">
      <c r="A47" s="23">
        <v>46</v>
      </c>
      <c r="B47" s="20" t="s">
        <v>250</v>
      </c>
      <c r="C47" s="20">
        <v>505446505</v>
      </c>
      <c r="D47" s="24" t="s">
        <v>251</v>
      </c>
      <c r="E47" s="20" t="s">
        <v>92</v>
      </c>
      <c r="F47" s="20">
        <v>216356024</v>
      </c>
      <c r="G47" s="21">
        <v>34925</v>
      </c>
      <c r="H47" s="22">
        <f t="shared" ca="1" si="0"/>
        <v>26</v>
      </c>
      <c r="I47" s="169">
        <v>-388</v>
      </c>
    </row>
    <row r="48" spans="1:9" x14ac:dyDescent="0.25">
      <c r="A48" s="23">
        <v>47</v>
      </c>
      <c r="B48" s="20" t="s">
        <v>252</v>
      </c>
      <c r="C48" s="20">
        <v>506223548</v>
      </c>
      <c r="D48" s="24" t="s">
        <v>253</v>
      </c>
      <c r="E48" s="20" t="s">
        <v>126</v>
      </c>
      <c r="F48" s="20">
        <v>203456455</v>
      </c>
      <c r="G48" s="21">
        <v>30109</v>
      </c>
      <c r="H48" s="22">
        <f t="shared" ca="1" si="0"/>
        <v>39</v>
      </c>
      <c r="I48" s="169">
        <v>-418</v>
      </c>
    </row>
    <row r="49" spans="1:9" x14ac:dyDescent="0.25">
      <c r="A49" s="23">
        <v>48</v>
      </c>
      <c r="B49" s="20" t="s">
        <v>254</v>
      </c>
      <c r="C49" s="20">
        <v>506224588</v>
      </c>
      <c r="D49" s="24" t="s">
        <v>255</v>
      </c>
      <c r="E49" s="20" t="s">
        <v>11</v>
      </c>
      <c r="F49" s="20">
        <v>345457764</v>
      </c>
      <c r="G49" s="21">
        <v>26072</v>
      </c>
      <c r="H49" s="22">
        <f t="shared" ca="1" si="0"/>
        <v>50</v>
      </c>
      <c r="I49" s="169">
        <v>-240</v>
      </c>
    </row>
    <row r="50" spans="1:9" x14ac:dyDescent="0.25">
      <c r="A50" s="23">
        <v>49</v>
      </c>
      <c r="B50" s="20" t="s">
        <v>256</v>
      </c>
      <c r="C50" s="20">
        <v>507454557</v>
      </c>
      <c r="D50" s="24" t="s">
        <v>257</v>
      </c>
      <c r="E50" s="20" t="s">
        <v>92</v>
      </c>
      <c r="F50" s="20">
        <v>386767567</v>
      </c>
      <c r="G50" s="21">
        <v>36367</v>
      </c>
      <c r="H50" s="22">
        <f t="shared" ca="1" si="0"/>
        <v>22</v>
      </c>
      <c r="I50" s="169">
        <v>-200</v>
      </c>
    </row>
    <row r="51" spans="1:9" x14ac:dyDescent="0.25">
      <c r="A51" s="23">
        <v>50</v>
      </c>
      <c r="B51" s="20" t="s">
        <v>258</v>
      </c>
      <c r="C51" s="20">
        <v>526444541</v>
      </c>
      <c r="D51" s="24" t="s">
        <v>259</v>
      </c>
      <c r="E51" s="20" t="s">
        <v>37</v>
      </c>
      <c r="F51" s="20">
        <v>364988476</v>
      </c>
      <c r="G51" s="21">
        <v>31392</v>
      </c>
      <c r="H51" s="22">
        <f t="shared" ca="1" si="0"/>
        <v>36</v>
      </c>
      <c r="I51" s="169">
        <v>-454</v>
      </c>
    </row>
    <row r="52" spans="1:9" x14ac:dyDescent="0.25">
      <c r="A52" s="23">
        <v>51</v>
      </c>
      <c r="B52" s="20" t="s">
        <v>260</v>
      </c>
      <c r="C52" s="20">
        <v>525454591</v>
      </c>
      <c r="D52" s="24" t="s">
        <v>261</v>
      </c>
      <c r="E52" s="20" t="s">
        <v>26</v>
      </c>
      <c r="F52" s="20">
        <v>346567867</v>
      </c>
      <c r="G52" s="21">
        <v>30791</v>
      </c>
      <c r="H52" s="22">
        <f t="shared" ca="1" si="0"/>
        <v>37</v>
      </c>
      <c r="I52" s="169">
        <v>-356</v>
      </c>
    </row>
    <row r="53" spans="1:9" x14ac:dyDescent="0.25">
      <c r="A53" s="23">
        <v>52</v>
      </c>
      <c r="B53" s="20" t="s">
        <v>262</v>
      </c>
      <c r="C53" s="20">
        <v>524545591</v>
      </c>
      <c r="D53" s="24" t="s">
        <v>263</v>
      </c>
      <c r="E53" s="20" t="s">
        <v>40</v>
      </c>
      <c r="F53" s="20">
        <v>354687564</v>
      </c>
      <c r="G53" s="21">
        <v>33529</v>
      </c>
      <c r="H53" s="22">
        <f t="shared" ca="1" si="0"/>
        <v>30</v>
      </c>
      <c r="I53" s="169">
        <v>-344</v>
      </c>
    </row>
    <row r="54" spans="1:9" x14ac:dyDescent="0.25">
      <c r="A54" s="23">
        <v>53</v>
      </c>
      <c r="B54" s="20" t="s">
        <v>264</v>
      </c>
      <c r="C54" s="20">
        <v>528645491</v>
      </c>
      <c r="D54" s="24" t="s">
        <v>265</v>
      </c>
      <c r="E54" s="20" t="s">
        <v>106</v>
      </c>
      <c r="F54" s="20">
        <v>224567863</v>
      </c>
      <c r="G54" s="21">
        <v>30972</v>
      </c>
      <c r="H54" s="22">
        <f t="shared" ca="1" si="0"/>
        <v>37</v>
      </c>
      <c r="I54" s="169">
        <v>-402</v>
      </c>
    </row>
  </sheetData>
  <hyperlinks>
    <hyperlink ref="D3" r:id="rId1" xr:uid="{6F55FC08-13DA-469D-88B9-801F2F202DFD}"/>
    <hyperlink ref="D5" r:id="rId2" xr:uid="{C2C9AB6A-E9B6-45A1-8A1F-C8DA5B4D2804}"/>
    <hyperlink ref="D4" r:id="rId3" xr:uid="{A5D2B4F3-C813-4975-BF31-8896A94913BE}"/>
    <hyperlink ref="D6" r:id="rId4" xr:uid="{44207087-9848-4263-909C-B79BD52CBA4C}"/>
    <hyperlink ref="D11" r:id="rId5" xr:uid="{15B1F1DC-2CA4-42FC-B0F8-A0931E5BFBC9}"/>
    <hyperlink ref="D9" r:id="rId6" xr:uid="{59AE0560-07A7-4B70-94E3-8495D1AB9D43}"/>
    <hyperlink ref="D10" r:id="rId7" xr:uid="{06A7DA69-51AB-4033-82DE-B4121A511441}"/>
    <hyperlink ref="D12" r:id="rId8" xr:uid="{DB3AD4C3-2EB7-4B52-B94A-333988B21C4F}"/>
    <hyperlink ref="D9:D12" r:id="rId9" display="DANA794@GMAIL.COM" xr:uid="{A1802460-0728-4B22-8989-E33BF287C319}"/>
    <hyperlink ref="D7" r:id="rId10" xr:uid="{A5345C6E-4DC7-4B17-BA56-7C7E3A59EDE7}"/>
    <hyperlink ref="D8" r:id="rId11" xr:uid="{619B17A3-D7AC-4B94-B8E9-A556D014C961}"/>
    <hyperlink ref="D14" r:id="rId12" xr:uid="{4122748E-BCB3-4699-A694-7E7BB42B645D}"/>
    <hyperlink ref="D15" r:id="rId13" xr:uid="{568371DD-BFFF-4756-98A5-744F8247BFE8}"/>
    <hyperlink ref="D13" r:id="rId14" xr:uid="{06BD7C9B-065B-446E-97BF-BB9962CB2604}"/>
    <hyperlink ref="D21:D23" r:id="rId15" display="HAIM54@GMAIL.COM" xr:uid="{0462ABA4-B423-4D9C-A86C-A76A01B065B2}"/>
    <hyperlink ref="D24" r:id="rId16" xr:uid="{7204DBE9-57B6-4339-A199-4149B81727E2}"/>
    <hyperlink ref="D23" r:id="rId17" xr:uid="{F2DAFAD5-F11D-4CF7-92B7-6C605928A307}"/>
    <hyperlink ref="D22" r:id="rId18" xr:uid="{0237D56C-68A0-4E3D-B820-2C592D623BE5}"/>
    <hyperlink ref="D21" r:id="rId19" xr:uid="{9B3F0AA1-427E-46AF-A269-65C6E179FEBE}"/>
    <hyperlink ref="D20" r:id="rId20" xr:uid="{5940A759-DAD8-47A3-934B-18BB02F6DE10}"/>
    <hyperlink ref="D19" r:id="rId21" xr:uid="{0986E39B-65B0-4836-BE51-8DE6C4A0CE43}"/>
    <hyperlink ref="D18" r:id="rId22" xr:uid="{25DB1FBF-7D75-4E54-BF49-ADBAC6545157}"/>
    <hyperlink ref="D17" r:id="rId23" xr:uid="{4D816F27-E933-41EF-B4AE-7C2667B79CB5}"/>
    <hyperlink ref="D16" r:id="rId24" xr:uid="{9156C857-34DA-438F-9E19-2CEC5CFF6246}"/>
    <hyperlink ref="D38" r:id="rId25" xr:uid="{AC196A97-02B3-4A8F-9A4F-E45A51623727}"/>
    <hyperlink ref="D30" r:id="rId26" xr:uid="{D7B8DCAD-9ACF-48EA-94E7-5C1242B05C97}"/>
    <hyperlink ref="D28" r:id="rId27" xr:uid="{79F9F49E-9331-4844-974C-6B6AECD01950}"/>
    <hyperlink ref="D35" r:id="rId28" xr:uid="{8621BC09-FE26-4DEF-841D-7CB691C4371F}"/>
    <hyperlink ref="D34" r:id="rId29" xr:uid="{03BDDDED-E425-45FA-8D2E-93D5BFEA8517}"/>
    <hyperlink ref="D33" r:id="rId30" xr:uid="{4281B989-DAE2-4F96-A1C7-FFA61010A83D}"/>
    <hyperlink ref="D32" r:id="rId31" xr:uid="{03E21823-9CFA-4413-BF9E-8534C21FA75A}"/>
    <hyperlink ref="D31" r:id="rId32" xr:uid="{D66C872E-9084-44D0-A770-3373571EBD08}"/>
    <hyperlink ref="D39" r:id="rId33" xr:uid="{AE92E28E-E3D4-42B7-A6C7-A63F81FB692A}"/>
    <hyperlink ref="D37" r:id="rId34" xr:uid="{D8C24960-4477-4439-8A57-645C9E2AEF03}"/>
    <hyperlink ref="D36" r:id="rId35" xr:uid="{42D6A95B-1B87-46DC-A943-BD8F2265DF03}"/>
    <hyperlink ref="D40" r:id="rId36" xr:uid="{0DDF04F9-E5F1-4837-8C32-B33F3B18B818}"/>
    <hyperlink ref="D27" r:id="rId37" xr:uid="{CC74DB04-BBAB-4B9B-8162-467158E19758}"/>
    <hyperlink ref="D29" r:id="rId38" xr:uid="{292BAC65-1D7C-4B6B-979A-6EAE3A74D3C5}"/>
    <hyperlink ref="D26" r:id="rId39" xr:uid="{14E762AD-2659-41AB-8CEF-9BBFCA54A607}"/>
    <hyperlink ref="D25" r:id="rId40" xr:uid="{56B3C779-F34E-430E-8D4C-79022C3E829D}"/>
    <hyperlink ref="D41" r:id="rId41" xr:uid="{EEE8A30C-7BF5-42CF-9E9C-3282C7771B68}"/>
    <hyperlink ref="D42" r:id="rId42" xr:uid="{2ACBFE9C-7E80-4CA0-BC72-F0599041142A}"/>
    <hyperlink ref="D43" r:id="rId43" xr:uid="{BA6E9213-31E5-46B7-B240-1DBB2F0C964B}"/>
    <hyperlink ref="D44" r:id="rId44" xr:uid="{684A1911-9E26-421F-A941-E3FE8E793BA0}"/>
    <hyperlink ref="D45" r:id="rId45" xr:uid="{4943A335-A0B6-4E36-812D-F5FFCA5CFD01}"/>
    <hyperlink ref="D46" r:id="rId46" xr:uid="{9935C42A-891C-4148-92D5-DCAF21FA7170}"/>
    <hyperlink ref="D48" r:id="rId47" xr:uid="{D0525323-35E6-45EB-89BE-A3D54DB892FE}"/>
    <hyperlink ref="D49" r:id="rId48" xr:uid="{A95D402F-969B-4CDB-AF82-3B5FB1AB223A}"/>
    <hyperlink ref="D47" r:id="rId49" xr:uid="{D1803177-BD16-48E4-9548-CA0077FE8BCD}"/>
    <hyperlink ref="D50" r:id="rId50" xr:uid="{7AE547E1-F79F-4644-8035-F5D85662AF1F}"/>
    <hyperlink ref="D51" r:id="rId51" xr:uid="{86EE6D6C-51B9-4D18-BE47-565EB48442F7}"/>
    <hyperlink ref="D52" r:id="rId52" xr:uid="{8C497AE4-307F-47F8-84DD-057DC13FF63D}"/>
    <hyperlink ref="D53" r:id="rId53" xr:uid="{CC1FDC88-408E-4C86-B57A-15B39FBCD155}"/>
    <hyperlink ref="D54" r:id="rId54" xr:uid="{3633E720-4A3D-4752-8FDD-F1BC893E1B66}"/>
    <hyperlink ref="D2" r:id="rId55" xr:uid="{6E2809E7-335C-4F22-B5D7-272FBA9A4E85}"/>
  </hyperlinks>
  <pageMargins left="0.7" right="0.7" top="0.75" bottom="0.75" header="0.3" footer="0.3"/>
  <pageSetup paperSize="9" scale="83" fitToHeight="0" orientation="landscape" r:id="rId56"/>
  <ignoredErrors>
    <ignoredError sqref="H6" calculatedColumn="1"/>
  </ignoredErrors>
  <tableParts count="1">
    <tablePart r:id="rId5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68C12-086A-48F9-BC98-C2CE115377DF}">
  <sheetPr codeName="גיליון3">
    <tabColor theme="8" tint="0.59999389629810485"/>
    <pageSetUpPr fitToPage="1"/>
  </sheetPr>
  <dimension ref="A1:M91"/>
  <sheetViews>
    <sheetView rightToLeft="1" workbookViewId="0">
      <pane ySplit="1" topLeftCell="A2" activePane="bottomLeft" state="frozen"/>
      <selection pane="bottomLeft" activeCell="A2" sqref="A2"/>
    </sheetView>
  </sheetViews>
  <sheetFormatPr defaultColWidth="8.796875" defaultRowHeight="17.399999999999999" x14ac:dyDescent="0.25"/>
  <cols>
    <col min="1" max="1" width="17.19921875" style="1" bestFit="1" customWidth="1"/>
    <col min="2" max="2" width="15.09765625" style="1" bestFit="1" customWidth="1"/>
    <col min="3" max="3" width="13.09765625" style="1" bestFit="1" customWidth="1"/>
    <col min="4" max="4" width="29.09765625" style="1" bestFit="1" customWidth="1"/>
    <col min="5" max="5" width="14.59765625" style="1" customWidth="1"/>
    <col min="6" max="6" width="13.69921875" style="1" customWidth="1"/>
    <col min="7" max="7" width="16.09765625" style="1" bestFit="1" customWidth="1"/>
    <col min="8" max="8" width="18.8984375" style="1" customWidth="1"/>
    <col min="9" max="9" width="14.296875" style="34" bestFit="1" customWidth="1"/>
    <col min="10" max="10" width="12.796875" style="1" customWidth="1"/>
    <col min="11" max="11" width="14.296875" style="34" bestFit="1" customWidth="1"/>
    <col min="12" max="12" width="9.796875" style="1" customWidth="1"/>
    <col min="13" max="13" width="12.3984375" style="35" bestFit="1" customWidth="1"/>
    <col min="14" max="16384" width="8.796875" style="1"/>
  </cols>
  <sheetData>
    <row r="1" spans="1:13" x14ac:dyDescent="0.3">
      <c r="A1" s="105" t="s">
        <v>0</v>
      </c>
      <c r="B1" s="106" t="s">
        <v>266</v>
      </c>
      <c r="C1" s="106" t="s">
        <v>151</v>
      </c>
      <c r="D1" s="107" t="s">
        <v>152</v>
      </c>
      <c r="E1" s="108" t="s">
        <v>154</v>
      </c>
      <c r="F1" s="109" t="s">
        <v>156</v>
      </c>
      <c r="G1" s="110" t="s">
        <v>155</v>
      </c>
      <c r="I1" s="1"/>
      <c r="K1" s="1"/>
      <c r="M1" s="1"/>
    </row>
    <row r="2" spans="1:13" x14ac:dyDescent="0.3">
      <c r="A2" s="6">
        <v>1</v>
      </c>
      <c r="B2" s="30" t="s">
        <v>450</v>
      </c>
      <c r="C2" s="2">
        <v>551085654</v>
      </c>
      <c r="D2" s="33" t="s">
        <v>502</v>
      </c>
      <c r="E2" s="2">
        <v>299797913</v>
      </c>
      <c r="F2" s="32">
        <f t="shared" ref="F2:F65" ca="1" si="0">DATEDIF(G2,TODAY(),"Y")</f>
        <v>33</v>
      </c>
      <c r="G2" s="3">
        <v>32400</v>
      </c>
      <c r="I2" s="1"/>
      <c r="K2" s="1"/>
      <c r="M2" s="1"/>
    </row>
    <row r="3" spans="1:13" x14ac:dyDescent="0.3">
      <c r="A3" s="6">
        <v>2</v>
      </c>
      <c r="B3" s="30" t="s">
        <v>267</v>
      </c>
      <c r="C3" s="2">
        <v>556045529</v>
      </c>
      <c r="D3" s="33" t="s">
        <v>268</v>
      </c>
      <c r="E3" s="2">
        <v>213883178</v>
      </c>
      <c r="F3" s="32">
        <f t="shared" ca="1" si="0"/>
        <v>47</v>
      </c>
      <c r="G3" s="3">
        <v>27358</v>
      </c>
      <c r="I3" s="1"/>
      <c r="K3" s="1"/>
      <c r="M3" s="1"/>
    </row>
    <row r="4" spans="1:13" x14ac:dyDescent="0.3">
      <c r="A4" s="6">
        <v>3</v>
      </c>
      <c r="B4" s="30" t="s">
        <v>269</v>
      </c>
      <c r="C4" s="2">
        <v>542831695</v>
      </c>
      <c r="D4" s="33" t="s">
        <v>270</v>
      </c>
      <c r="E4" s="2">
        <v>217792641</v>
      </c>
      <c r="F4" s="32">
        <f t="shared" ca="1" si="0"/>
        <v>58</v>
      </c>
      <c r="G4" s="3">
        <v>23340</v>
      </c>
      <c r="I4" s="1"/>
      <c r="K4" s="1"/>
      <c r="M4" s="1"/>
    </row>
    <row r="5" spans="1:13" x14ac:dyDescent="0.3">
      <c r="A5" s="6">
        <v>5</v>
      </c>
      <c r="B5" s="30" t="s">
        <v>453</v>
      </c>
      <c r="C5" s="2">
        <v>541844501</v>
      </c>
      <c r="D5" s="33" t="s">
        <v>503</v>
      </c>
      <c r="E5" s="2">
        <v>220467818</v>
      </c>
      <c r="F5" s="32">
        <v>61</v>
      </c>
      <c r="G5" s="3">
        <v>21916</v>
      </c>
      <c r="I5" s="1"/>
      <c r="K5" s="1"/>
      <c r="M5" s="1"/>
    </row>
    <row r="6" spans="1:13" x14ac:dyDescent="0.3">
      <c r="A6" s="6">
        <v>6</v>
      </c>
      <c r="B6" s="30" t="s">
        <v>271</v>
      </c>
      <c r="C6" s="2">
        <v>554063202</v>
      </c>
      <c r="D6" s="33" t="s">
        <v>272</v>
      </c>
      <c r="E6" s="2">
        <v>225756430</v>
      </c>
      <c r="F6" s="32">
        <f t="shared" ca="1" si="0"/>
        <v>26</v>
      </c>
      <c r="G6" s="3">
        <v>34804</v>
      </c>
      <c r="I6" s="1"/>
      <c r="K6" s="1"/>
      <c r="M6" s="1"/>
    </row>
    <row r="7" spans="1:13" x14ac:dyDescent="0.3">
      <c r="A7" s="6">
        <v>7</v>
      </c>
      <c r="B7" s="30" t="s">
        <v>273</v>
      </c>
      <c r="C7" s="2">
        <v>577445991</v>
      </c>
      <c r="D7" s="33" t="s">
        <v>274</v>
      </c>
      <c r="E7" s="2">
        <v>228918967</v>
      </c>
      <c r="F7" s="32">
        <f t="shared" ca="1" si="0"/>
        <v>37</v>
      </c>
      <c r="G7" s="3">
        <v>30757</v>
      </c>
      <c r="I7" s="1"/>
      <c r="K7" s="1"/>
      <c r="M7" s="1"/>
    </row>
    <row r="8" spans="1:13" x14ac:dyDescent="0.3">
      <c r="A8" s="6">
        <v>8</v>
      </c>
      <c r="B8" s="30" t="s">
        <v>275</v>
      </c>
      <c r="C8" s="2">
        <v>535716967</v>
      </c>
      <c r="D8" s="33" t="s">
        <v>276</v>
      </c>
      <c r="E8" s="2">
        <v>231509228</v>
      </c>
      <c r="F8" s="32">
        <f t="shared" ca="1" si="0"/>
        <v>51</v>
      </c>
      <c r="G8" s="3">
        <v>25905</v>
      </c>
      <c r="I8" s="1"/>
      <c r="K8" s="1"/>
      <c r="M8" s="1"/>
    </row>
    <row r="9" spans="1:13" x14ac:dyDescent="0.3">
      <c r="A9" s="6">
        <v>9</v>
      </c>
      <c r="B9" s="30" t="s">
        <v>277</v>
      </c>
      <c r="C9" s="2">
        <v>519616367</v>
      </c>
      <c r="D9" s="33" t="s">
        <v>278</v>
      </c>
      <c r="E9" s="2">
        <v>232527430</v>
      </c>
      <c r="F9" s="32">
        <f t="shared" ca="1" si="0"/>
        <v>49</v>
      </c>
      <c r="G9" s="3">
        <v>26651</v>
      </c>
      <c r="I9" s="1"/>
      <c r="K9" s="1"/>
      <c r="M9" s="1"/>
    </row>
    <row r="10" spans="1:13" x14ac:dyDescent="0.3">
      <c r="A10" s="6">
        <v>10</v>
      </c>
      <c r="B10" s="30" t="s">
        <v>279</v>
      </c>
      <c r="C10" s="2">
        <v>501891455</v>
      </c>
      <c r="D10" s="31" t="s">
        <v>280</v>
      </c>
      <c r="E10" s="2">
        <v>238869933</v>
      </c>
      <c r="F10" s="32">
        <f t="shared" ca="1" si="0"/>
        <v>52</v>
      </c>
      <c r="G10" s="3">
        <v>25281</v>
      </c>
      <c r="I10" s="1"/>
      <c r="K10" s="1"/>
      <c r="M10" s="1"/>
    </row>
    <row r="11" spans="1:13" x14ac:dyDescent="0.3">
      <c r="A11" s="6">
        <v>11</v>
      </c>
      <c r="B11" s="30" t="s">
        <v>281</v>
      </c>
      <c r="C11" s="2">
        <v>511570882</v>
      </c>
      <c r="D11" s="33" t="s">
        <v>282</v>
      </c>
      <c r="E11" s="2">
        <v>239658325</v>
      </c>
      <c r="F11" s="32">
        <f t="shared" ca="1" si="0"/>
        <v>39</v>
      </c>
      <c r="G11" s="3">
        <v>30199</v>
      </c>
      <c r="I11" s="1"/>
      <c r="K11" s="1"/>
      <c r="M11" s="1"/>
    </row>
    <row r="12" spans="1:13" x14ac:dyDescent="0.3">
      <c r="A12" s="6">
        <v>12</v>
      </c>
      <c r="B12" s="30" t="s">
        <v>283</v>
      </c>
      <c r="C12" s="2">
        <v>567954105</v>
      </c>
      <c r="D12" s="33" t="s">
        <v>284</v>
      </c>
      <c r="E12" s="2">
        <v>242869852</v>
      </c>
      <c r="F12" s="32">
        <f t="shared" ca="1" si="0"/>
        <v>22</v>
      </c>
      <c r="G12" s="3">
        <v>36174</v>
      </c>
      <c r="I12" s="1"/>
      <c r="K12" s="1"/>
      <c r="M12" s="1"/>
    </row>
    <row r="13" spans="1:13" x14ac:dyDescent="0.3">
      <c r="A13" s="6">
        <v>13</v>
      </c>
      <c r="B13" s="30" t="s">
        <v>285</v>
      </c>
      <c r="C13" s="2">
        <v>507315035</v>
      </c>
      <c r="D13" s="33" t="s">
        <v>286</v>
      </c>
      <c r="E13" s="2">
        <v>244764257</v>
      </c>
      <c r="F13" s="32">
        <f t="shared" ca="1" si="0"/>
        <v>40</v>
      </c>
      <c r="G13" s="3">
        <v>29845</v>
      </c>
      <c r="I13" s="1"/>
      <c r="K13" s="1"/>
      <c r="M13" s="1"/>
    </row>
    <row r="14" spans="1:13" x14ac:dyDescent="0.3">
      <c r="A14" s="6">
        <v>14</v>
      </c>
      <c r="B14" s="30" t="s">
        <v>287</v>
      </c>
      <c r="C14" s="2">
        <v>523085892</v>
      </c>
      <c r="D14" s="33" t="s">
        <v>288</v>
      </c>
      <c r="E14" s="2">
        <v>248076544</v>
      </c>
      <c r="F14" s="32">
        <f t="shared" ca="1" si="0"/>
        <v>42</v>
      </c>
      <c r="G14" s="3">
        <v>28893</v>
      </c>
      <c r="I14" s="1"/>
      <c r="K14" s="1"/>
      <c r="M14" s="1"/>
    </row>
    <row r="15" spans="1:13" x14ac:dyDescent="0.3">
      <c r="A15" s="6">
        <v>15</v>
      </c>
      <c r="B15" s="30" t="s">
        <v>289</v>
      </c>
      <c r="C15" s="2">
        <v>515214035</v>
      </c>
      <c r="D15" s="33" t="s">
        <v>290</v>
      </c>
      <c r="E15" s="2">
        <v>248801652</v>
      </c>
      <c r="F15" s="32">
        <f t="shared" ca="1" si="0"/>
        <v>36</v>
      </c>
      <c r="G15" s="3">
        <v>31115</v>
      </c>
      <c r="I15" s="1"/>
      <c r="K15" s="1"/>
      <c r="M15" s="1"/>
    </row>
    <row r="16" spans="1:13" x14ac:dyDescent="0.3">
      <c r="A16" s="6">
        <v>16</v>
      </c>
      <c r="B16" s="30" t="s">
        <v>291</v>
      </c>
      <c r="C16" s="2">
        <v>549878511</v>
      </c>
      <c r="D16" s="33" t="s">
        <v>292</v>
      </c>
      <c r="E16" s="2">
        <v>266076825</v>
      </c>
      <c r="F16" s="32">
        <f t="shared" ca="1" si="0"/>
        <v>24</v>
      </c>
      <c r="G16" s="3">
        <v>35516</v>
      </c>
      <c r="I16" s="1"/>
      <c r="K16" s="1"/>
      <c r="M16" s="1"/>
    </row>
    <row r="17" spans="1:13" x14ac:dyDescent="0.3">
      <c r="A17" s="6">
        <v>17</v>
      </c>
      <c r="B17" s="30" t="s">
        <v>293</v>
      </c>
      <c r="C17" s="2">
        <v>575529615</v>
      </c>
      <c r="D17" s="33" t="s">
        <v>294</v>
      </c>
      <c r="E17" s="2">
        <v>271584303</v>
      </c>
      <c r="F17" s="32">
        <f t="shared" ca="1" si="0"/>
        <v>24</v>
      </c>
      <c r="G17" s="3">
        <v>35594</v>
      </c>
      <c r="I17" s="1"/>
      <c r="K17" s="1"/>
      <c r="M17" s="1"/>
    </row>
    <row r="18" spans="1:13" x14ac:dyDescent="0.3">
      <c r="A18" s="6">
        <v>18</v>
      </c>
      <c r="B18" s="30" t="s">
        <v>295</v>
      </c>
      <c r="C18" s="2">
        <v>554295473</v>
      </c>
      <c r="D18" s="33" t="s">
        <v>296</v>
      </c>
      <c r="E18" s="2">
        <v>272425713</v>
      </c>
      <c r="F18" s="32">
        <f t="shared" ca="1" si="0"/>
        <v>55</v>
      </c>
      <c r="G18" s="3">
        <v>24227</v>
      </c>
      <c r="I18" s="1"/>
      <c r="K18" s="1"/>
      <c r="M18" s="1"/>
    </row>
    <row r="19" spans="1:13" x14ac:dyDescent="0.3">
      <c r="A19" s="6">
        <v>19</v>
      </c>
      <c r="B19" s="30" t="s">
        <v>297</v>
      </c>
      <c r="C19" s="2">
        <v>535764466</v>
      </c>
      <c r="D19" s="33" t="s">
        <v>298</v>
      </c>
      <c r="E19" s="2">
        <v>279397941</v>
      </c>
      <c r="F19" s="32">
        <f t="shared" ca="1" si="0"/>
        <v>31</v>
      </c>
      <c r="G19" s="3">
        <v>33141</v>
      </c>
      <c r="H19" s="1" t="s">
        <v>301</v>
      </c>
      <c r="I19" s="1"/>
      <c r="K19" s="1"/>
      <c r="M19" s="1"/>
    </row>
    <row r="20" spans="1:13" x14ac:dyDescent="0.3">
      <c r="A20" s="6">
        <v>20</v>
      </c>
      <c r="B20" s="30" t="s">
        <v>299</v>
      </c>
      <c r="C20" s="2">
        <v>501225540</v>
      </c>
      <c r="D20" s="33" t="s">
        <v>300</v>
      </c>
      <c r="E20" s="2">
        <v>280010896</v>
      </c>
      <c r="F20" s="32">
        <f t="shared" ca="1" si="0"/>
        <v>27</v>
      </c>
      <c r="G20" s="3">
        <v>34380</v>
      </c>
      <c r="I20" s="1"/>
      <c r="K20" s="1"/>
      <c r="M20" s="1"/>
    </row>
    <row r="21" spans="1:13" x14ac:dyDescent="0.3">
      <c r="A21" s="6">
        <v>21</v>
      </c>
      <c r="B21" s="30" t="s">
        <v>302</v>
      </c>
      <c r="C21" s="2">
        <v>559065828</v>
      </c>
      <c r="D21" s="33" t="s">
        <v>303</v>
      </c>
      <c r="E21" s="2">
        <v>282111399</v>
      </c>
      <c r="F21" s="32">
        <f t="shared" ca="1" si="0"/>
        <v>32</v>
      </c>
      <c r="G21" s="3">
        <v>32521</v>
      </c>
      <c r="I21" s="1"/>
      <c r="K21" s="1"/>
      <c r="M21" s="1"/>
    </row>
    <row r="22" spans="1:13" x14ac:dyDescent="0.3">
      <c r="A22" s="6">
        <v>22</v>
      </c>
      <c r="B22" s="30" t="s">
        <v>304</v>
      </c>
      <c r="C22" s="2">
        <v>517959378</v>
      </c>
      <c r="D22" s="33" t="s">
        <v>305</v>
      </c>
      <c r="E22" s="2">
        <v>285339092</v>
      </c>
      <c r="F22" s="32">
        <f t="shared" ca="1" si="0"/>
        <v>60</v>
      </c>
      <c r="G22" s="3">
        <v>22641</v>
      </c>
      <c r="I22" s="1"/>
      <c r="K22" s="1"/>
      <c r="M22" s="1"/>
    </row>
    <row r="23" spans="1:13" x14ac:dyDescent="0.3">
      <c r="A23" s="6">
        <v>23</v>
      </c>
      <c r="B23" s="30" t="s">
        <v>306</v>
      </c>
      <c r="C23" s="2">
        <v>536469755</v>
      </c>
      <c r="D23" s="33" t="s">
        <v>307</v>
      </c>
      <c r="E23" s="2">
        <v>290680020</v>
      </c>
      <c r="F23" s="32">
        <f t="shared" ca="1" si="0"/>
        <v>49</v>
      </c>
      <c r="G23" s="3">
        <v>26384</v>
      </c>
      <c r="I23" s="1"/>
      <c r="K23" s="1"/>
      <c r="M23" s="1"/>
    </row>
    <row r="24" spans="1:13" x14ac:dyDescent="0.3">
      <c r="A24" s="6">
        <v>24</v>
      </c>
      <c r="B24" s="30" t="s">
        <v>308</v>
      </c>
      <c r="C24" s="2">
        <v>509188163</v>
      </c>
      <c r="D24" s="33" t="s">
        <v>309</v>
      </c>
      <c r="E24" s="2">
        <v>291842118</v>
      </c>
      <c r="F24" s="32">
        <f t="shared" ca="1" si="0"/>
        <v>33</v>
      </c>
      <c r="G24" s="3">
        <v>32400</v>
      </c>
      <c r="I24" s="1"/>
      <c r="K24" s="1"/>
      <c r="M24" s="1"/>
    </row>
    <row r="25" spans="1:13" x14ac:dyDescent="0.3">
      <c r="A25" s="6">
        <v>25</v>
      </c>
      <c r="B25" s="30" t="s">
        <v>310</v>
      </c>
      <c r="C25" s="2">
        <v>520419264</v>
      </c>
      <c r="D25" s="33" t="s">
        <v>311</v>
      </c>
      <c r="E25" s="2">
        <v>296421433</v>
      </c>
      <c r="F25" s="32">
        <f t="shared" ca="1" si="0"/>
        <v>43</v>
      </c>
      <c r="G25" s="3">
        <v>28605</v>
      </c>
      <c r="I25" s="1"/>
      <c r="K25" s="1"/>
      <c r="M25" s="1"/>
    </row>
    <row r="26" spans="1:13" x14ac:dyDescent="0.3">
      <c r="A26" s="6">
        <v>26</v>
      </c>
      <c r="B26" s="30" t="s">
        <v>312</v>
      </c>
      <c r="C26" s="2">
        <v>559394452</v>
      </c>
      <c r="D26" s="33" t="s">
        <v>313</v>
      </c>
      <c r="E26" s="2">
        <v>297286058</v>
      </c>
      <c r="F26" s="32">
        <f t="shared" ca="1" si="0"/>
        <v>54</v>
      </c>
      <c r="G26" s="3">
        <v>24506</v>
      </c>
      <c r="I26" s="1"/>
      <c r="K26" s="1"/>
      <c r="M26" s="1"/>
    </row>
    <row r="27" spans="1:13" x14ac:dyDescent="0.3">
      <c r="A27" s="6">
        <v>27</v>
      </c>
      <c r="B27" s="30" t="s">
        <v>314</v>
      </c>
      <c r="C27" s="2">
        <v>501144421</v>
      </c>
      <c r="D27" s="33" t="s">
        <v>315</v>
      </c>
      <c r="E27" s="2">
        <v>297331611</v>
      </c>
      <c r="F27" s="32">
        <f t="shared" ca="1" si="0"/>
        <v>44</v>
      </c>
      <c r="G27" s="3">
        <v>28209</v>
      </c>
      <c r="I27" s="1"/>
      <c r="K27" s="1"/>
      <c r="M27" s="1"/>
    </row>
    <row r="28" spans="1:13" x14ac:dyDescent="0.3">
      <c r="A28" s="6">
        <v>28</v>
      </c>
      <c r="B28" s="30" t="s">
        <v>316</v>
      </c>
      <c r="C28" s="2">
        <v>557025191</v>
      </c>
      <c r="D28" s="33" t="s">
        <v>317</v>
      </c>
      <c r="E28" s="2">
        <v>297968568</v>
      </c>
      <c r="F28" s="32">
        <f t="shared" ca="1" si="0"/>
        <v>43</v>
      </c>
      <c r="G28" s="3">
        <v>28651</v>
      </c>
      <c r="I28" s="1"/>
      <c r="K28" s="1"/>
      <c r="M28" s="1"/>
    </row>
    <row r="29" spans="1:13" x14ac:dyDescent="0.3">
      <c r="A29" s="6">
        <v>29</v>
      </c>
      <c r="B29" s="30" t="s">
        <v>318</v>
      </c>
      <c r="C29" s="2">
        <v>564874927</v>
      </c>
      <c r="D29" s="33" t="s">
        <v>319</v>
      </c>
      <c r="E29" s="2">
        <v>299244447</v>
      </c>
      <c r="F29" s="32">
        <f t="shared" ca="1" si="0"/>
        <v>41</v>
      </c>
      <c r="G29" s="3">
        <v>29447</v>
      </c>
      <c r="I29" s="1"/>
      <c r="K29" s="1"/>
      <c r="M29" s="1"/>
    </row>
    <row r="30" spans="1:13" x14ac:dyDescent="0.3">
      <c r="A30" s="6">
        <v>30</v>
      </c>
      <c r="B30" s="30" t="s">
        <v>320</v>
      </c>
      <c r="C30" s="2">
        <v>544224535</v>
      </c>
      <c r="D30" s="33" t="s">
        <v>321</v>
      </c>
      <c r="E30" s="2">
        <v>309898968</v>
      </c>
      <c r="F30" s="32">
        <f t="shared" ca="1" si="0"/>
        <v>53</v>
      </c>
      <c r="G30" s="3">
        <v>24874</v>
      </c>
      <c r="I30" s="1"/>
      <c r="K30" s="1"/>
      <c r="M30" s="1"/>
    </row>
    <row r="31" spans="1:13" x14ac:dyDescent="0.3">
      <c r="A31" s="6">
        <v>31</v>
      </c>
      <c r="B31" s="30" t="s">
        <v>322</v>
      </c>
      <c r="C31" s="2">
        <v>556879213</v>
      </c>
      <c r="D31" s="33" t="s">
        <v>309</v>
      </c>
      <c r="E31" s="2">
        <v>310029530</v>
      </c>
      <c r="F31" s="32">
        <f t="shared" ca="1" si="0"/>
        <v>36</v>
      </c>
      <c r="G31" s="3">
        <v>31060</v>
      </c>
      <c r="I31" s="1"/>
      <c r="K31" s="1"/>
      <c r="M31" s="1"/>
    </row>
    <row r="32" spans="1:13" x14ac:dyDescent="0.3">
      <c r="A32" s="6">
        <v>32</v>
      </c>
      <c r="B32" s="30" t="s">
        <v>323</v>
      </c>
      <c r="C32" s="2">
        <v>541059084</v>
      </c>
      <c r="D32" s="33" t="s">
        <v>324</v>
      </c>
      <c r="E32" s="2">
        <v>324206573</v>
      </c>
      <c r="F32" s="32">
        <f t="shared" ca="1" si="0"/>
        <v>35</v>
      </c>
      <c r="G32" s="3">
        <v>31487</v>
      </c>
      <c r="I32" s="1"/>
      <c r="K32" s="1"/>
      <c r="M32" s="1"/>
    </row>
    <row r="33" spans="1:13" x14ac:dyDescent="0.3">
      <c r="A33" s="6">
        <v>33</v>
      </c>
      <c r="B33" s="30" t="s">
        <v>325</v>
      </c>
      <c r="C33" s="2">
        <v>512079197</v>
      </c>
      <c r="D33" s="33" t="s">
        <v>326</v>
      </c>
      <c r="E33" s="2">
        <v>324612755</v>
      </c>
      <c r="F33" s="32">
        <f t="shared" ca="1" si="0"/>
        <v>27</v>
      </c>
      <c r="G33" s="3">
        <v>34607</v>
      </c>
      <c r="I33" s="1"/>
      <c r="K33" s="1"/>
      <c r="M33" s="1"/>
    </row>
    <row r="34" spans="1:13" x14ac:dyDescent="0.3">
      <c r="A34" s="6">
        <v>34</v>
      </c>
      <c r="B34" s="30" t="s">
        <v>327</v>
      </c>
      <c r="C34" s="2">
        <v>552582765</v>
      </c>
      <c r="D34" s="33" t="s">
        <v>328</v>
      </c>
      <c r="E34" s="2">
        <v>326315941</v>
      </c>
      <c r="F34" s="32">
        <f t="shared" ca="1" si="0"/>
        <v>58</v>
      </c>
      <c r="G34" s="3">
        <v>23039</v>
      </c>
      <c r="I34" s="1"/>
      <c r="K34" s="1"/>
      <c r="M34" s="1"/>
    </row>
    <row r="35" spans="1:13" x14ac:dyDescent="0.3">
      <c r="A35" s="6">
        <v>35</v>
      </c>
      <c r="B35" s="30" t="s">
        <v>329</v>
      </c>
      <c r="C35" s="2">
        <v>569466206</v>
      </c>
      <c r="D35" s="33" t="s">
        <v>330</v>
      </c>
      <c r="E35" s="2">
        <v>327616849</v>
      </c>
      <c r="F35" s="32">
        <f t="shared" ca="1" si="0"/>
        <v>26</v>
      </c>
      <c r="G35" s="3">
        <v>34759</v>
      </c>
      <c r="I35" s="1"/>
      <c r="K35" s="1"/>
      <c r="M35" s="1"/>
    </row>
    <row r="36" spans="1:13" x14ac:dyDescent="0.3">
      <c r="A36" s="6">
        <v>36</v>
      </c>
      <c r="B36" s="30" t="s">
        <v>331</v>
      </c>
      <c r="C36" s="2">
        <v>519610056</v>
      </c>
      <c r="D36" s="33" t="s">
        <v>332</v>
      </c>
      <c r="E36" s="2">
        <v>329459850</v>
      </c>
      <c r="F36" s="32">
        <f t="shared" ca="1" si="0"/>
        <v>22</v>
      </c>
      <c r="G36" s="3">
        <v>36526</v>
      </c>
      <c r="I36" s="1"/>
      <c r="K36" s="1"/>
      <c r="M36" s="1"/>
    </row>
    <row r="37" spans="1:13" x14ac:dyDescent="0.3">
      <c r="A37" s="6">
        <v>37</v>
      </c>
      <c r="B37" s="30" t="s">
        <v>333</v>
      </c>
      <c r="C37" s="2">
        <v>531788224</v>
      </c>
      <c r="D37" s="33" t="s">
        <v>334</v>
      </c>
      <c r="E37" s="2">
        <v>333050377</v>
      </c>
      <c r="F37" s="32">
        <f t="shared" ca="1" si="0"/>
        <v>59</v>
      </c>
      <c r="G37" s="3">
        <v>22855</v>
      </c>
      <c r="I37" s="1"/>
      <c r="K37" s="1"/>
      <c r="M37" s="1"/>
    </row>
    <row r="38" spans="1:13" x14ac:dyDescent="0.3">
      <c r="A38" s="6">
        <v>38</v>
      </c>
      <c r="B38" s="30" t="s">
        <v>335</v>
      </c>
      <c r="C38" s="2">
        <v>535174032</v>
      </c>
      <c r="D38" s="33" t="s">
        <v>336</v>
      </c>
      <c r="E38" s="2">
        <v>335323163</v>
      </c>
      <c r="F38" s="32">
        <f t="shared" ca="1" si="0"/>
        <v>31</v>
      </c>
      <c r="G38" s="3">
        <v>33013</v>
      </c>
      <c r="I38" s="1"/>
      <c r="K38" s="1"/>
      <c r="M38" s="1"/>
    </row>
    <row r="39" spans="1:13" x14ac:dyDescent="0.3">
      <c r="A39" s="6">
        <v>39</v>
      </c>
      <c r="B39" s="30" t="s">
        <v>337</v>
      </c>
      <c r="C39" s="2">
        <v>550937431</v>
      </c>
      <c r="D39" s="33" t="s">
        <v>338</v>
      </c>
      <c r="E39" s="2">
        <v>338872994</v>
      </c>
      <c r="F39" s="32">
        <f t="shared" ca="1" si="0"/>
        <v>59</v>
      </c>
      <c r="G39" s="3">
        <v>22932</v>
      </c>
      <c r="I39" s="1"/>
      <c r="K39" s="1"/>
      <c r="M39" s="1"/>
    </row>
    <row r="40" spans="1:13" x14ac:dyDescent="0.3">
      <c r="A40" s="6">
        <v>40</v>
      </c>
      <c r="B40" s="30" t="s">
        <v>339</v>
      </c>
      <c r="C40" s="2">
        <v>521081457</v>
      </c>
      <c r="D40" s="33" t="s">
        <v>340</v>
      </c>
      <c r="E40" s="2">
        <v>342537131</v>
      </c>
      <c r="F40" s="32">
        <f t="shared" ca="1" si="0"/>
        <v>26</v>
      </c>
      <c r="G40" s="3">
        <v>34844</v>
      </c>
      <c r="I40" s="1"/>
      <c r="K40" s="1"/>
      <c r="M40" s="1"/>
    </row>
    <row r="41" spans="1:13" x14ac:dyDescent="0.3">
      <c r="A41" s="6">
        <v>41</v>
      </c>
      <c r="B41" s="30" t="s">
        <v>341</v>
      </c>
      <c r="C41" s="2">
        <v>538124146</v>
      </c>
      <c r="D41" s="33" t="s">
        <v>342</v>
      </c>
      <c r="E41" s="2">
        <v>347640004</v>
      </c>
      <c r="F41" s="32">
        <f t="shared" ca="1" si="0"/>
        <v>59</v>
      </c>
      <c r="G41" s="3">
        <v>22714</v>
      </c>
      <c r="I41" s="1"/>
      <c r="K41" s="1"/>
      <c r="M41" s="1"/>
    </row>
    <row r="42" spans="1:13" x14ac:dyDescent="0.3">
      <c r="A42" s="6">
        <v>42</v>
      </c>
      <c r="B42" s="30" t="s">
        <v>343</v>
      </c>
      <c r="C42" s="2">
        <v>567725454</v>
      </c>
      <c r="D42" s="33" t="s">
        <v>344</v>
      </c>
      <c r="E42" s="2">
        <v>353671717</v>
      </c>
      <c r="F42" s="32">
        <f t="shared" ca="1" si="0"/>
        <v>52</v>
      </c>
      <c r="G42" s="3">
        <v>25452</v>
      </c>
      <c r="I42" s="1"/>
      <c r="K42" s="1"/>
      <c r="M42" s="1"/>
    </row>
    <row r="43" spans="1:13" x14ac:dyDescent="0.3">
      <c r="A43" s="6">
        <v>43</v>
      </c>
      <c r="B43" s="30" t="s">
        <v>345</v>
      </c>
      <c r="C43" s="2">
        <v>558508654</v>
      </c>
      <c r="D43" s="33" t="s">
        <v>346</v>
      </c>
      <c r="E43" s="2">
        <v>355080332</v>
      </c>
      <c r="F43" s="32">
        <f t="shared" ca="1" si="0"/>
        <v>54</v>
      </c>
      <c r="G43" s="3">
        <v>24818</v>
      </c>
      <c r="I43" s="1"/>
      <c r="K43" s="1"/>
      <c r="M43" s="1"/>
    </row>
    <row r="44" spans="1:13" x14ac:dyDescent="0.3">
      <c r="A44" s="6">
        <v>44</v>
      </c>
      <c r="B44" s="30" t="s">
        <v>347</v>
      </c>
      <c r="C44" s="2">
        <v>500244477</v>
      </c>
      <c r="D44" s="33" t="s">
        <v>348</v>
      </c>
      <c r="E44" s="2">
        <v>357952731</v>
      </c>
      <c r="F44" s="32">
        <f t="shared" ca="1" si="0"/>
        <v>59</v>
      </c>
      <c r="G44" s="3">
        <v>23017</v>
      </c>
      <c r="I44" s="1"/>
      <c r="K44" s="1"/>
      <c r="M44" s="1"/>
    </row>
    <row r="45" spans="1:13" x14ac:dyDescent="0.3">
      <c r="A45" s="6">
        <v>45</v>
      </c>
      <c r="B45" s="30" t="s">
        <v>349</v>
      </c>
      <c r="C45" s="2">
        <v>529636637</v>
      </c>
      <c r="D45" s="33" t="s">
        <v>350</v>
      </c>
      <c r="E45" s="2">
        <v>370501696</v>
      </c>
      <c r="F45" s="32">
        <f t="shared" ca="1" si="0"/>
        <v>55</v>
      </c>
      <c r="G45" s="3">
        <v>24439</v>
      </c>
      <c r="I45" s="1"/>
      <c r="K45" s="1"/>
      <c r="M45" s="1"/>
    </row>
    <row r="46" spans="1:13" x14ac:dyDescent="0.3">
      <c r="A46" s="6">
        <v>46</v>
      </c>
      <c r="B46" s="30" t="s">
        <v>351</v>
      </c>
      <c r="C46" s="2">
        <v>514046495</v>
      </c>
      <c r="D46" s="33" t="s">
        <v>352</v>
      </c>
      <c r="E46" s="2">
        <v>372805794</v>
      </c>
      <c r="F46" s="32">
        <f t="shared" ca="1" si="0"/>
        <v>45</v>
      </c>
      <c r="G46" s="3">
        <v>27791</v>
      </c>
      <c r="I46" s="1"/>
      <c r="K46" s="1"/>
      <c r="M46" s="1"/>
    </row>
    <row r="47" spans="1:13" x14ac:dyDescent="0.3">
      <c r="A47" s="6">
        <v>47</v>
      </c>
      <c r="B47" s="30" t="s">
        <v>353</v>
      </c>
      <c r="C47" s="2">
        <v>518353005</v>
      </c>
      <c r="D47" s="33" t="s">
        <v>354</v>
      </c>
      <c r="E47" s="2">
        <v>373244768</v>
      </c>
      <c r="F47" s="32">
        <f t="shared" ca="1" si="0"/>
        <v>45</v>
      </c>
      <c r="G47" s="3">
        <v>28007</v>
      </c>
      <c r="I47" s="1"/>
      <c r="K47" s="1"/>
      <c r="M47" s="1"/>
    </row>
    <row r="48" spans="1:13" x14ac:dyDescent="0.3">
      <c r="A48" s="6">
        <v>48</v>
      </c>
      <c r="B48" s="30" t="s">
        <v>355</v>
      </c>
      <c r="C48" s="2">
        <v>523273407</v>
      </c>
      <c r="D48" s="33" t="s">
        <v>356</v>
      </c>
      <c r="E48" s="2">
        <v>379387232</v>
      </c>
      <c r="F48" s="32">
        <f t="shared" ca="1" si="0"/>
        <v>36</v>
      </c>
      <c r="G48" s="3">
        <v>31234</v>
      </c>
      <c r="I48" s="1"/>
      <c r="K48" s="1"/>
      <c r="M48" s="1"/>
    </row>
    <row r="49" spans="1:13" x14ac:dyDescent="0.3">
      <c r="A49" s="6">
        <v>49</v>
      </c>
      <c r="B49" s="30" t="s">
        <v>357</v>
      </c>
      <c r="C49" s="2">
        <v>568459298</v>
      </c>
      <c r="D49" s="33" t="s">
        <v>358</v>
      </c>
      <c r="E49" s="2">
        <v>385103344</v>
      </c>
      <c r="F49" s="32">
        <f t="shared" ca="1" si="0"/>
        <v>24</v>
      </c>
      <c r="G49" s="3">
        <v>35570</v>
      </c>
      <c r="I49" s="1"/>
      <c r="K49" s="1"/>
      <c r="M49" s="1"/>
    </row>
    <row r="50" spans="1:13" x14ac:dyDescent="0.3">
      <c r="A50" s="6">
        <v>50</v>
      </c>
      <c r="B50" s="30" t="s">
        <v>359</v>
      </c>
      <c r="C50" s="2">
        <v>550930235</v>
      </c>
      <c r="D50" s="31" t="s">
        <v>360</v>
      </c>
      <c r="E50" s="2">
        <v>342805794</v>
      </c>
      <c r="F50" s="32">
        <f t="shared" ca="1" si="0"/>
        <v>45</v>
      </c>
      <c r="G50" s="3">
        <v>27791</v>
      </c>
      <c r="I50" s="1"/>
      <c r="K50" s="1"/>
      <c r="M50" s="1"/>
    </row>
    <row r="51" spans="1:13" x14ac:dyDescent="0.3">
      <c r="A51" s="6">
        <v>51</v>
      </c>
      <c r="B51" s="30" t="s">
        <v>361</v>
      </c>
      <c r="C51" s="2">
        <v>565566606</v>
      </c>
      <c r="D51" s="33" t="s">
        <v>362</v>
      </c>
      <c r="E51" s="2">
        <v>240593057</v>
      </c>
      <c r="F51" s="32">
        <f t="shared" ca="1" si="0"/>
        <v>22</v>
      </c>
      <c r="G51" s="3">
        <v>36175</v>
      </c>
      <c r="I51" s="1"/>
      <c r="K51" s="1"/>
      <c r="M51" s="1"/>
    </row>
    <row r="52" spans="1:13" x14ac:dyDescent="0.25">
      <c r="A52" s="6">
        <v>52</v>
      </c>
      <c r="B52" s="2" t="s">
        <v>363</v>
      </c>
      <c r="C52" s="2">
        <v>542049032</v>
      </c>
      <c r="D52" s="33" t="s">
        <v>364</v>
      </c>
      <c r="E52" s="2">
        <v>341615523</v>
      </c>
      <c r="F52" s="32">
        <f t="shared" ca="1" si="0"/>
        <v>30</v>
      </c>
      <c r="G52" s="3">
        <v>33450</v>
      </c>
      <c r="I52" s="1"/>
      <c r="K52" s="1"/>
      <c r="M52" s="1"/>
    </row>
    <row r="53" spans="1:13" x14ac:dyDescent="0.25">
      <c r="A53" s="6">
        <v>53</v>
      </c>
      <c r="B53" s="2" t="s">
        <v>365</v>
      </c>
      <c r="C53" s="2">
        <v>542777559</v>
      </c>
      <c r="D53" s="33" t="s">
        <v>366</v>
      </c>
      <c r="E53" s="2">
        <v>340251635</v>
      </c>
      <c r="F53" s="32">
        <f t="shared" ca="1" si="0"/>
        <v>36</v>
      </c>
      <c r="G53" s="3">
        <v>31413</v>
      </c>
      <c r="I53" s="1"/>
      <c r="K53" s="1"/>
      <c r="M53" s="1"/>
    </row>
    <row r="54" spans="1:13" x14ac:dyDescent="0.25">
      <c r="A54" s="6">
        <v>54</v>
      </c>
      <c r="B54" s="2" t="s">
        <v>367</v>
      </c>
      <c r="C54" s="2">
        <v>528582113</v>
      </c>
      <c r="D54" s="33" t="s">
        <v>368</v>
      </c>
      <c r="E54" s="2">
        <v>220119302</v>
      </c>
      <c r="F54" s="32">
        <f t="shared" ca="1" si="0"/>
        <v>43</v>
      </c>
      <c r="G54" s="3">
        <v>28644</v>
      </c>
      <c r="I54" s="1"/>
      <c r="K54" s="1"/>
      <c r="M54" s="1"/>
    </row>
    <row r="55" spans="1:13" x14ac:dyDescent="0.25">
      <c r="A55" s="6">
        <v>55</v>
      </c>
      <c r="B55" s="2" t="s">
        <v>369</v>
      </c>
      <c r="C55" s="2">
        <v>554737687</v>
      </c>
      <c r="D55" s="33" t="s">
        <v>370</v>
      </c>
      <c r="E55" s="2">
        <v>292171067</v>
      </c>
      <c r="F55" s="32">
        <f t="shared" ca="1" si="0"/>
        <v>49</v>
      </c>
      <c r="G55" s="3">
        <v>26613</v>
      </c>
      <c r="I55" s="1"/>
      <c r="K55" s="1"/>
      <c r="M55" s="1"/>
    </row>
    <row r="56" spans="1:13" x14ac:dyDescent="0.25">
      <c r="A56" s="6">
        <v>56</v>
      </c>
      <c r="B56" s="2" t="s">
        <v>371</v>
      </c>
      <c r="C56" s="2">
        <v>533449839</v>
      </c>
      <c r="D56" s="33" t="s">
        <v>372</v>
      </c>
      <c r="E56" s="2">
        <v>305432359</v>
      </c>
      <c r="F56" s="32">
        <f t="shared" ca="1" si="0"/>
        <v>56</v>
      </c>
      <c r="G56" s="3">
        <v>23774</v>
      </c>
      <c r="I56" s="1"/>
      <c r="K56" s="1"/>
      <c r="M56" s="1"/>
    </row>
    <row r="57" spans="1:13" x14ac:dyDescent="0.25">
      <c r="A57" s="6">
        <v>57</v>
      </c>
      <c r="B57" s="2" t="s">
        <v>373</v>
      </c>
      <c r="C57" s="2">
        <v>553986765</v>
      </c>
      <c r="D57" s="33" t="s">
        <v>374</v>
      </c>
      <c r="E57" s="2">
        <v>304333878</v>
      </c>
      <c r="F57" s="32">
        <f t="shared" ca="1" si="0"/>
        <v>57</v>
      </c>
      <c r="G57" s="3">
        <v>23435</v>
      </c>
      <c r="I57" s="1"/>
      <c r="K57" s="1"/>
      <c r="M57" s="1"/>
    </row>
    <row r="58" spans="1:13" x14ac:dyDescent="0.25">
      <c r="A58" s="6">
        <v>58</v>
      </c>
      <c r="B58" s="2" t="s">
        <v>375</v>
      </c>
      <c r="C58" s="2">
        <v>538951475</v>
      </c>
      <c r="D58" s="33" t="s">
        <v>376</v>
      </c>
      <c r="E58" s="2">
        <v>267364686</v>
      </c>
      <c r="F58" s="32">
        <f t="shared" ca="1" si="0"/>
        <v>56</v>
      </c>
      <c r="G58" s="3">
        <v>23829</v>
      </c>
      <c r="I58" s="1"/>
      <c r="K58" s="1"/>
      <c r="M58" s="1"/>
    </row>
    <row r="59" spans="1:13" x14ac:dyDescent="0.25">
      <c r="A59" s="6">
        <v>59</v>
      </c>
      <c r="B59" s="2" t="s">
        <v>377</v>
      </c>
      <c r="C59" s="2">
        <v>525491047</v>
      </c>
      <c r="D59" s="33" t="s">
        <v>378</v>
      </c>
      <c r="E59" s="2">
        <v>364030015</v>
      </c>
      <c r="F59" s="32">
        <f t="shared" ca="1" si="0"/>
        <v>28</v>
      </c>
      <c r="G59" s="3">
        <v>34097</v>
      </c>
      <c r="I59" s="1"/>
      <c r="K59" s="1"/>
      <c r="M59" s="1"/>
    </row>
    <row r="60" spans="1:13" x14ac:dyDescent="0.25">
      <c r="A60" s="6">
        <v>60</v>
      </c>
      <c r="B60" s="2" t="s">
        <v>379</v>
      </c>
      <c r="C60" s="2">
        <v>552418647</v>
      </c>
      <c r="D60" s="33" t="s">
        <v>380</v>
      </c>
      <c r="E60" s="2">
        <v>343397940</v>
      </c>
      <c r="F60" s="32">
        <f t="shared" ca="1" si="0"/>
        <v>5</v>
      </c>
      <c r="G60" s="3">
        <v>42407</v>
      </c>
      <c r="I60" s="1"/>
      <c r="K60" s="1"/>
      <c r="M60" s="1"/>
    </row>
    <row r="61" spans="1:13" x14ac:dyDescent="0.25">
      <c r="A61" s="6">
        <v>61</v>
      </c>
      <c r="B61" s="2" t="s">
        <v>381</v>
      </c>
      <c r="C61" s="2">
        <v>553175584</v>
      </c>
      <c r="D61" s="33" t="s">
        <v>382</v>
      </c>
      <c r="E61" s="2">
        <v>385797230</v>
      </c>
      <c r="F61" s="32">
        <f t="shared" ca="1" si="0"/>
        <v>21</v>
      </c>
      <c r="G61" s="3">
        <v>36723</v>
      </c>
      <c r="I61" s="1"/>
      <c r="K61" s="1"/>
      <c r="M61" s="1"/>
    </row>
    <row r="62" spans="1:13" x14ac:dyDescent="0.25">
      <c r="A62" s="6">
        <v>62</v>
      </c>
      <c r="B62" s="2" t="s">
        <v>383</v>
      </c>
      <c r="C62" s="2">
        <v>544433016</v>
      </c>
      <c r="D62" s="33" t="s">
        <v>384</v>
      </c>
      <c r="E62" s="2">
        <v>269486823</v>
      </c>
      <c r="F62" s="32">
        <f t="shared" ca="1" si="0"/>
        <v>11</v>
      </c>
      <c r="G62" s="3">
        <v>40528</v>
      </c>
      <c r="I62" s="1"/>
      <c r="K62" s="1"/>
      <c r="M62" s="1"/>
    </row>
    <row r="63" spans="1:13" x14ac:dyDescent="0.25">
      <c r="A63" s="6">
        <v>63</v>
      </c>
      <c r="B63" s="2" t="s">
        <v>385</v>
      </c>
      <c r="C63" s="2">
        <v>551073849</v>
      </c>
      <c r="D63" s="33" t="s">
        <v>386</v>
      </c>
      <c r="E63" s="2">
        <v>265068048</v>
      </c>
      <c r="F63" s="32">
        <f t="shared" ca="1" si="0"/>
        <v>3</v>
      </c>
      <c r="G63" s="3">
        <v>43457</v>
      </c>
      <c r="I63" s="1"/>
      <c r="K63" s="1"/>
      <c r="M63" s="1"/>
    </row>
    <row r="64" spans="1:13" x14ac:dyDescent="0.25">
      <c r="A64" s="6">
        <v>64</v>
      </c>
      <c r="B64" s="2" t="s">
        <v>387</v>
      </c>
      <c r="C64" s="2">
        <v>531979297</v>
      </c>
      <c r="D64" s="33" t="s">
        <v>388</v>
      </c>
      <c r="E64" s="2">
        <v>352397323</v>
      </c>
      <c r="F64" s="32">
        <f t="shared" ca="1" si="0"/>
        <v>5</v>
      </c>
      <c r="G64" s="3">
        <v>42452</v>
      </c>
      <c r="I64" s="1"/>
      <c r="K64" s="1"/>
      <c r="M64" s="1"/>
    </row>
    <row r="65" spans="1:13" x14ac:dyDescent="0.25">
      <c r="A65" s="6">
        <v>65</v>
      </c>
      <c r="B65" s="2" t="s">
        <v>389</v>
      </c>
      <c r="C65" s="2">
        <v>541809786</v>
      </c>
      <c r="D65" s="33" t="s">
        <v>390</v>
      </c>
      <c r="E65" s="2">
        <v>277317187</v>
      </c>
      <c r="F65" s="32">
        <f t="shared" ca="1" si="0"/>
        <v>54</v>
      </c>
      <c r="G65" s="3">
        <v>24716</v>
      </c>
      <c r="I65" s="1"/>
      <c r="K65" s="1"/>
      <c r="M65" s="1"/>
    </row>
    <row r="66" spans="1:13" x14ac:dyDescent="0.25">
      <c r="A66" s="6">
        <v>66</v>
      </c>
      <c r="B66" s="2" t="s">
        <v>391</v>
      </c>
      <c r="C66" s="2">
        <v>541595477</v>
      </c>
      <c r="D66" s="33" t="s">
        <v>392</v>
      </c>
      <c r="E66" s="2">
        <v>229762814</v>
      </c>
      <c r="F66" s="32">
        <f t="shared" ref="F66:F91" ca="1" si="1">DATEDIF(G66,TODAY(),"Y")</f>
        <v>41</v>
      </c>
      <c r="G66" s="3">
        <v>29287</v>
      </c>
      <c r="I66" s="1"/>
      <c r="K66" s="1"/>
      <c r="M66" s="1"/>
    </row>
    <row r="67" spans="1:13" x14ac:dyDescent="0.25">
      <c r="A67" s="6">
        <v>67</v>
      </c>
      <c r="B67" s="2" t="s">
        <v>393</v>
      </c>
      <c r="C67" s="2">
        <v>528474858</v>
      </c>
      <c r="D67" s="33" t="s">
        <v>394</v>
      </c>
      <c r="E67" s="2">
        <v>343513526</v>
      </c>
      <c r="F67" s="32">
        <f t="shared" ca="1" si="1"/>
        <v>28</v>
      </c>
      <c r="G67" s="3">
        <v>34186</v>
      </c>
      <c r="I67" s="1"/>
      <c r="K67" s="1"/>
      <c r="M67" s="1"/>
    </row>
    <row r="68" spans="1:13" x14ac:dyDescent="0.25">
      <c r="A68" s="6">
        <v>68</v>
      </c>
      <c r="B68" s="2" t="s">
        <v>395</v>
      </c>
      <c r="C68" s="2">
        <v>541257111</v>
      </c>
      <c r="D68" s="33" t="s">
        <v>396</v>
      </c>
      <c r="E68" s="2">
        <v>372597285</v>
      </c>
      <c r="F68" s="32">
        <f t="shared" ca="1" si="1"/>
        <v>16</v>
      </c>
      <c r="G68" s="3">
        <v>38657</v>
      </c>
      <c r="I68" s="1"/>
      <c r="K68" s="1"/>
      <c r="M68" s="1"/>
    </row>
    <row r="69" spans="1:13" x14ac:dyDescent="0.25">
      <c r="A69" s="6">
        <v>69</v>
      </c>
      <c r="B69" s="2" t="s">
        <v>397</v>
      </c>
      <c r="C69" s="2">
        <v>553563588</v>
      </c>
      <c r="D69" s="33" t="s">
        <v>398</v>
      </c>
      <c r="E69" s="2">
        <v>319745591</v>
      </c>
      <c r="F69" s="32">
        <f t="shared" ca="1" si="1"/>
        <v>16</v>
      </c>
      <c r="G69" s="3">
        <v>38432</v>
      </c>
      <c r="I69" s="1"/>
      <c r="K69" s="1"/>
      <c r="M69" s="1"/>
    </row>
    <row r="70" spans="1:13" x14ac:dyDescent="0.25">
      <c r="A70" s="6">
        <v>70</v>
      </c>
      <c r="B70" s="2" t="s">
        <v>399</v>
      </c>
      <c r="C70" s="2">
        <v>537102544</v>
      </c>
      <c r="D70" s="33" t="s">
        <v>400</v>
      </c>
      <c r="E70" s="2">
        <v>213594029</v>
      </c>
      <c r="F70" s="32">
        <f t="shared" ca="1" si="1"/>
        <v>22</v>
      </c>
      <c r="G70" s="3">
        <v>36235</v>
      </c>
      <c r="I70" s="1"/>
      <c r="K70" s="1"/>
      <c r="M70" s="1"/>
    </row>
    <row r="71" spans="1:13" x14ac:dyDescent="0.25">
      <c r="A71" s="6">
        <v>71</v>
      </c>
      <c r="B71" s="2" t="s">
        <v>401</v>
      </c>
      <c r="C71" s="2">
        <v>554242383</v>
      </c>
      <c r="D71" s="33" t="s">
        <v>402</v>
      </c>
      <c r="E71" s="2">
        <v>281413907</v>
      </c>
      <c r="F71" s="32">
        <f t="shared" ca="1" si="1"/>
        <v>46</v>
      </c>
      <c r="G71" s="3">
        <v>27761</v>
      </c>
      <c r="I71" s="1"/>
      <c r="K71" s="1"/>
      <c r="M71" s="1"/>
    </row>
    <row r="72" spans="1:13" x14ac:dyDescent="0.25">
      <c r="A72" s="6">
        <v>72</v>
      </c>
      <c r="B72" s="2" t="s">
        <v>403</v>
      </c>
      <c r="C72" s="2">
        <v>553911926</v>
      </c>
      <c r="D72" s="33" t="s">
        <v>404</v>
      </c>
      <c r="E72" s="2">
        <v>222359603</v>
      </c>
      <c r="F72" s="32">
        <f t="shared" ca="1" si="1"/>
        <v>60</v>
      </c>
      <c r="G72" s="3">
        <v>22366</v>
      </c>
      <c r="I72" s="1"/>
      <c r="K72" s="1"/>
      <c r="M72" s="1"/>
    </row>
    <row r="73" spans="1:13" x14ac:dyDescent="0.25">
      <c r="A73" s="6">
        <v>73</v>
      </c>
      <c r="B73" s="2" t="s">
        <v>405</v>
      </c>
      <c r="C73" s="2">
        <v>552983057</v>
      </c>
      <c r="D73" s="33" t="s">
        <v>406</v>
      </c>
      <c r="E73" s="2">
        <v>252541982</v>
      </c>
      <c r="F73" s="32">
        <f t="shared" ca="1" si="1"/>
        <v>58</v>
      </c>
      <c r="G73" s="3">
        <v>23149</v>
      </c>
      <c r="I73" s="1"/>
      <c r="K73" s="1"/>
      <c r="M73" s="1"/>
    </row>
    <row r="74" spans="1:13" x14ac:dyDescent="0.25">
      <c r="A74" s="6">
        <v>74</v>
      </c>
      <c r="B74" s="2" t="s">
        <v>407</v>
      </c>
      <c r="C74" s="2">
        <v>550981158</v>
      </c>
      <c r="D74" s="33" t="s">
        <v>408</v>
      </c>
      <c r="E74" s="2">
        <v>310767336</v>
      </c>
      <c r="F74" s="32">
        <f t="shared" ca="1" si="1"/>
        <v>11</v>
      </c>
      <c r="G74" s="3">
        <v>40193</v>
      </c>
      <c r="I74" s="1"/>
      <c r="K74" s="1"/>
      <c r="M74" s="1"/>
    </row>
    <row r="75" spans="1:13" x14ac:dyDescent="0.25">
      <c r="A75" s="6">
        <v>75</v>
      </c>
      <c r="B75" s="2" t="s">
        <v>409</v>
      </c>
      <c r="C75" s="2">
        <v>539231527</v>
      </c>
      <c r="D75" s="33" t="s">
        <v>410</v>
      </c>
      <c r="E75" s="2">
        <v>262004154</v>
      </c>
      <c r="F75" s="32">
        <f t="shared" ca="1" si="1"/>
        <v>48</v>
      </c>
      <c r="G75" s="3">
        <v>26901</v>
      </c>
      <c r="I75" s="1"/>
      <c r="K75" s="1"/>
      <c r="M75" s="1"/>
    </row>
    <row r="76" spans="1:13" x14ac:dyDescent="0.25">
      <c r="A76" s="6">
        <v>76</v>
      </c>
      <c r="B76" s="2" t="s">
        <v>411</v>
      </c>
      <c r="C76" s="2">
        <v>538212654</v>
      </c>
      <c r="D76" s="33" t="s">
        <v>412</v>
      </c>
      <c r="E76" s="2">
        <v>203169782</v>
      </c>
      <c r="F76" s="32">
        <f t="shared" ca="1" si="1"/>
        <v>36</v>
      </c>
      <c r="G76" s="3">
        <v>31316</v>
      </c>
      <c r="I76" s="1"/>
      <c r="K76" s="1"/>
      <c r="M76" s="1"/>
    </row>
    <row r="77" spans="1:13" x14ac:dyDescent="0.25">
      <c r="A77" s="6">
        <v>77</v>
      </c>
      <c r="B77" s="2" t="s">
        <v>413</v>
      </c>
      <c r="C77" s="2">
        <v>536191849</v>
      </c>
      <c r="D77" s="33" t="s">
        <v>414</v>
      </c>
      <c r="E77" s="2">
        <v>272365757</v>
      </c>
      <c r="F77" s="32">
        <f t="shared" ca="1" si="1"/>
        <v>18</v>
      </c>
      <c r="G77" s="3">
        <v>37858</v>
      </c>
      <c r="I77" s="1"/>
      <c r="K77" s="1"/>
      <c r="M77" s="1"/>
    </row>
    <row r="78" spans="1:13" x14ac:dyDescent="0.25">
      <c r="A78" s="6">
        <v>78</v>
      </c>
      <c r="B78" s="2" t="s">
        <v>415</v>
      </c>
      <c r="C78" s="2">
        <v>531628703</v>
      </c>
      <c r="D78" s="33" t="s">
        <v>416</v>
      </c>
      <c r="E78" s="2">
        <v>363803570</v>
      </c>
      <c r="F78" s="32">
        <f t="shared" ca="1" si="1"/>
        <v>36</v>
      </c>
      <c r="G78" s="3">
        <v>31233</v>
      </c>
      <c r="I78" s="1"/>
      <c r="K78" s="1"/>
      <c r="M78" s="1"/>
    </row>
    <row r="79" spans="1:13" x14ac:dyDescent="0.25">
      <c r="A79" s="6">
        <v>79</v>
      </c>
      <c r="B79" s="2" t="s">
        <v>417</v>
      </c>
      <c r="C79" s="2">
        <v>534930085</v>
      </c>
      <c r="D79" s="33" t="s">
        <v>418</v>
      </c>
      <c r="E79" s="2">
        <v>209663255</v>
      </c>
      <c r="F79" s="32">
        <f t="shared" ca="1" si="1"/>
        <v>41</v>
      </c>
      <c r="G79" s="3">
        <v>29490</v>
      </c>
      <c r="I79" s="1"/>
      <c r="K79" s="1"/>
      <c r="M79" s="1"/>
    </row>
    <row r="80" spans="1:13" x14ac:dyDescent="0.25">
      <c r="A80" s="6">
        <v>80</v>
      </c>
      <c r="B80" s="2" t="s">
        <v>419</v>
      </c>
      <c r="C80" s="2">
        <v>546582963</v>
      </c>
      <c r="D80" s="33" t="s">
        <v>420</v>
      </c>
      <c r="E80" s="2">
        <v>232874532</v>
      </c>
      <c r="F80" s="32">
        <f t="shared" ca="1" si="1"/>
        <v>9</v>
      </c>
      <c r="G80" s="3">
        <v>41035</v>
      </c>
      <c r="I80" s="1"/>
      <c r="K80" s="1"/>
      <c r="M80" s="1"/>
    </row>
    <row r="81" spans="1:13" x14ac:dyDescent="0.25">
      <c r="A81" s="6">
        <v>81</v>
      </c>
      <c r="B81" s="2" t="s">
        <v>421</v>
      </c>
      <c r="C81" s="2">
        <v>535938584</v>
      </c>
      <c r="D81" s="33" t="s">
        <v>296</v>
      </c>
      <c r="E81" s="2">
        <v>213627936</v>
      </c>
      <c r="F81" s="32">
        <f t="shared" ca="1" si="1"/>
        <v>59</v>
      </c>
      <c r="G81" s="3">
        <v>22875</v>
      </c>
      <c r="I81" s="1"/>
      <c r="K81" s="1"/>
      <c r="M81" s="1"/>
    </row>
    <row r="82" spans="1:13" x14ac:dyDescent="0.25">
      <c r="A82" s="6">
        <v>82</v>
      </c>
      <c r="B82" s="2" t="s">
        <v>422</v>
      </c>
      <c r="C82" s="2">
        <v>527029960</v>
      </c>
      <c r="D82" s="33" t="s">
        <v>423</v>
      </c>
      <c r="E82" s="2">
        <v>299450273</v>
      </c>
      <c r="F82" s="32">
        <f t="shared" ca="1" si="1"/>
        <v>52</v>
      </c>
      <c r="G82" s="3">
        <v>25298</v>
      </c>
      <c r="I82" s="1"/>
      <c r="K82" s="1"/>
      <c r="M82" s="1"/>
    </row>
    <row r="83" spans="1:13" x14ac:dyDescent="0.25">
      <c r="A83" s="6">
        <v>83</v>
      </c>
      <c r="B83" s="2" t="s">
        <v>424</v>
      </c>
      <c r="C83" s="2">
        <v>545857323</v>
      </c>
      <c r="D83" s="33" t="s">
        <v>425</v>
      </c>
      <c r="E83" s="2">
        <v>364201671</v>
      </c>
      <c r="F83" s="32">
        <f t="shared" ca="1" si="1"/>
        <v>50</v>
      </c>
      <c r="G83" s="3">
        <v>26207</v>
      </c>
      <c r="I83" s="1"/>
      <c r="K83" s="1"/>
      <c r="M83" s="1"/>
    </row>
    <row r="84" spans="1:13" x14ac:dyDescent="0.25">
      <c r="A84" s="6">
        <v>84</v>
      </c>
      <c r="B84" s="2" t="s">
        <v>426</v>
      </c>
      <c r="C84" s="2">
        <v>537657773</v>
      </c>
      <c r="D84" s="33" t="s">
        <v>427</v>
      </c>
      <c r="E84" s="2">
        <v>336388923</v>
      </c>
      <c r="F84" s="32">
        <f t="shared" ca="1" si="1"/>
        <v>43</v>
      </c>
      <c r="G84" s="3">
        <v>28661</v>
      </c>
      <c r="I84" s="1"/>
      <c r="K84" s="1"/>
      <c r="M84" s="1"/>
    </row>
    <row r="85" spans="1:13" x14ac:dyDescent="0.25">
      <c r="A85" s="6">
        <v>85</v>
      </c>
      <c r="B85" s="2" t="s">
        <v>428</v>
      </c>
      <c r="C85" s="2">
        <v>543219885</v>
      </c>
      <c r="D85" s="33" t="s">
        <v>429</v>
      </c>
      <c r="E85" s="2">
        <v>236559722</v>
      </c>
      <c r="F85" s="32">
        <f t="shared" ca="1" si="1"/>
        <v>60</v>
      </c>
      <c r="G85" s="3">
        <v>22552</v>
      </c>
      <c r="I85" s="1"/>
      <c r="K85" s="1"/>
      <c r="M85" s="1"/>
    </row>
    <row r="86" spans="1:13" x14ac:dyDescent="0.25">
      <c r="A86" s="6">
        <v>86</v>
      </c>
      <c r="B86" s="2" t="s">
        <v>430</v>
      </c>
      <c r="C86" s="2">
        <v>545726359</v>
      </c>
      <c r="D86" s="33" t="s">
        <v>431</v>
      </c>
      <c r="E86" s="2">
        <v>237351155</v>
      </c>
      <c r="F86" s="32">
        <f t="shared" ca="1" si="1"/>
        <v>41</v>
      </c>
      <c r="G86" s="3">
        <v>29334</v>
      </c>
      <c r="I86" s="1"/>
      <c r="K86" s="1"/>
      <c r="M86" s="1"/>
    </row>
    <row r="87" spans="1:13" x14ac:dyDescent="0.25">
      <c r="A87" s="6">
        <v>87</v>
      </c>
      <c r="B87" s="2" t="s">
        <v>432</v>
      </c>
      <c r="C87" s="2">
        <v>552248184</v>
      </c>
      <c r="D87" s="33" t="s">
        <v>433</v>
      </c>
      <c r="E87" s="2">
        <v>307893664</v>
      </c>
      <c r="F87" s="32">
        <f t="shared" ca="1" si="1"/>
        <v>54</v>
      </c>
      <c r="G87" s="3">
        <v>24580</v>
      </c>
      <c r="I87" s="1"/>
      <c r="K87" s="1"/>
      <c r="M87" s="1"/>
    </row>
    <row r="88" spans="1:13" x14ac:dyDescent="0.25">
      <c r="A88" s="6">
        <v>88</v>
      </c>
      <c r="B88" s="2" t="s">
        <v>434</v>
      </c>
      <c r="C88" s="2">
        <v>527695086</v>
      </c>
      <c r="D88" s="33" t="s">
        <v>435</v>
      </c>
      <c r="E88" s="2">
        <v>369840966</v>
      </c>
      <c r="F88" s="32">
        <f t="shared" ca="1" si="1"/>
        <v>50</v>
      </c>
      <c r="G88" s="3">
        <v>26246</v>
      </c>
      <c r="I88" s="1"/>
      <c r="K88" s="1"/>
      <c r="M88" s="1"/>
    </row>
    <row r="89" spans="1:13" x14ac:dyDescent="0.25">
      <c r="A89" s="6">
        <v>89</v>
      </c>
      <c r="B89" s="2" t="s">
        <v>436</v>
      </c>
      <c r="C89" s="2">
        <v>553315832</v>
      </c>
      <c r="D89" s="33" t="s">
        <v>437</v>
      </c>
      <c r="E89" s="2">
        <v>300431859</v>
      </c>
      <c r="F89" s="32">
        <f t="shared" ca="1" si="1"/>
        <v>56</v>
      </c>
      <c r="G89" s="3">
        <v>23959</v>
      </c>
      <c r="I89" s="1"/>
      <c r="K89" s="1"/>
      <c r="M89" s="1"/>
    </row>
    <row r="90" spans="1:13" x14ac:dyDescent="0.25">
      <c r="A90" s="6">
        <v>90</v>
      </c>
      <c r="B90" s="2" t="s">
        <v>438</v>
      </c>
      <c r="C90" s="2">
        <v>545196948</v>
      </c>
      <c r="D90" s="33" t="s">
        <v>439</v>
      </c>
      <c r="E90" s="2">
        <v>246846028</v>
      </c>
      <c r="F90" s="32">
        <f t="shared" ca="1" si="1"/>
        <v>16</v>
      </c>
      <c r="G90" s="3">
        <v>38452</v>
      </c>
      <c r="I90" s="1"/>
      <c r="K90" s="1"/>
      <c r="M90" s="1"/>
    </row>
    <row r="91" spans="1:13" x14ac:dyDescent="0.25">
      <c r="A91" s="6">
        <v>91</v>
      </c>
      <c r="B91" s="2" t="s">
        <v>440</v>
      </c>
      <c r="C91" s="2">
        <v>547473324</v>
      </c>
      <c r="D91" s="33" t="s">
        <v>441</v>
      </c>
      <c r="E91" s="2">
        <v>298754647</v>
      </c>
      <c r="F91" s="32">
        <f t="shared" ca="1" si="1"/>
        <v>28</v>
      </c>
      <c r="G91" s="3">
        <v>34273</v>
      </c>
      <c r="I91" s="1"/>
      <c r="K91" s="1"/>
      <c r="M91" s="1"/>
    </row>
  </sheetData>
  <hyperlinks>
    <hyperlink ref="D9:D12" r:id="rId1" display="DANA794@GMAIL.COM" xr:uid="{18F1703F-37DD-46E9-982B-22C1CDC4A958}"/>
    <hyperlink ref="D50" r:id="rId2" xr:uid="{AC336EFD-A146-462F-A96A-5A0AE3245EAC}"/>
  </hyperlinks>
  <pageMargins left="0.7" right="0.7" top="0.75" bottom="0.75" header="0.3" footer="0.3"/>
  <pageSetup paperSize="9" scale="95" fitToHeight="0" orientation="landscape" r:id="rId3"/>
  <ignoredErrors>
    <ignoredError sqref="F5" calculatedColumn="1"/>
  </ignoredErrors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BE668-1235-45C9-A0A9-639ACEFC7495}">
  <sheetPr codeName="גיליון4">
    <tabColor theme="8" tint="0.59999389629810485"/>
  </sheetPr>
  <dimension ref="A1:X92"/>
  <sheetViews>
    <sheetView rightToLeft="1" workbookViewId="0">
      <pane ySplit="1" topLeftCell="A2" activePane="bottomLeft" state="frozen"/>
      <selection pane="bottomLeft" activeCell="C9" sqref="C9"/>
    </sheetView>
  </sheetViews>
  <sheetFormatPr defaultColWidth="8.796875" defaultRowHeight="17.399999999999999" x14ac:dyDescent="0.3"/>
  <cols>
    <col min="1" max="1" width="17.19921875" style="114" bestFit="1" customWidth="1"/>
    <col min="2" max="2" width="17.296875" style="114" customWidth="1"/>
    <col min="3" max="3" width="15.796875" style="114" customWidth="1"/>
    <col min="4" max="4" width="17.69921875" style="114" customWidth="1"/>
    <col min="5" max="5" width="17.3984375" style="114" customWidth="1"/>
    <col min="6" max="6" width="16.8984375" style="114" customWidth="1"/>
    <col min="7" max="7" width="26.09765625" style="122" bestFit="1" customWidth="1"/>
    <col min="8" max="8" width="23.19921875" style="122" bestFit="1" customWidth="1"/>
    <col min="9" max="9" width="18" style="123" bestFit="1" customWidth="1"/>
    <col min="10" max="11" width="8.796875" style="114"/>
    <col min="12" max="12" width="13.09765625" style="114" bestFit="1" customWidth="1"/>
    <col min="13" max="20" width="8.796875" style="114"/>
    <col min="21" max="21" width="13.09765625" style="114" bestFit="1" customWidth="1"/>
    <col min="22" max="22" width="7.8984375" style="114" bestFit="1" customWidth="1"/>
    <col min="23" max="23" width="6.296875" style="114" bestFit="1" customWidth="1"/>
    <col min="24" max="24" width="7.59765625" style="114" bestFit="1" customWidth="1"/>
    <col min="25" max="16384" width="8.796875" style="114"/>
  </cols>
  <sheetData>
    <row r="1" spans="1:24" x14ac:dyDescent="0.25">
      <c r="A1" s="111" t="s">
        <v>0</v>
      </c>
      <c r="B1" s="111" t="s">
        <v>443</v>
      </c>
      <c r="C1" s="112" t="s">
        <v>444</v>
      </c>
      <c r="D1" s="112" t="s">
        <v>445</v>
      </c>
      <c r="E1" s="112" t="s">
        <v>150</v>
      </c>
      <c r="F1" s="112" t="s">
        <v>446</v>
      </c>
      <c r="G1" s="113" t="s">
        <v>447</v>
      </c>
      <c r="H1" s="113" t="s">
        <v>448</v>
      </c>
      <c r="I1" s="162" t="s">
        <v>449</v>
      </c>
    </row>
    <row r="2" spans="1:24" x14ac:dyDescent="0.3">
      <c r="A2" s="115">
        <f t="shared" ref="A2:A65" si="0">ROW()-1</f>
        <v>1</v>
      </c>
      <c r="B2" s="115">
        <v>83492</v>
      </c>
      <c r="C2" s="116" t="s">
        <v>111</v>
      </c>
      <c r="D2" s="116" t="s">
        <v>112</v>
      </c>
      <c r="E2" s="116" t="s">
        <v>219</v>
      </c>
      <c r="F2" s="117" t="s">
        <v>450</v>
      </c>
      <c r="G2" s="118">
        <v>43900</v>
      </c>
      <c r="H2" s="118">
        <v>44752</v>
      </c>
      <c r="I2" s="36">
        <v>10060</v>
      </c>
      <c r="V2" s="114" t="s">
        <v>523</v>
      </c>
    </row>
    <row r="3" spans="1:24" x14ac:dyDescent="0.3">
      <c r="A3" s="115">
        <f t="shared" si="0"/>
        <v>2</v>
      </c>
      <c r="B3" s="115">
        <v>45164</v>
      </c>
      <c r="C3" s="116" t="s">
        <v>49</v>
      </c>
      <c r="D3" s="116" t="s">
        <v>50</v>
      </c>
      <c r="E3" s="116" t="s">
        <v>227</v>
      </c>
      <c r="F3" s="117" t="s">
        <v>267</v>
      </c>
      <c r="G3" s="118">
        <v>43018</v>
      </c>
      <c r="H3" s="118">
        <v>44844</v>
      </c>
      <c r="I3" s="37">
        <v>11526</v>
      </c>
      <c r="V3" s="114" t="s">
        <v>524</v>
      </c>
      <c r="W3" s="114">
        <v>2021</v>
      </c>
      <c r="X3" s="114" t="s">
        <v>451</v>
      </c>
    </row>
    <row r="4" spans="1:24" x14ac:dyDescent="0.3">
      <c r="A4" s="115">
        <f t="shared" si="0"/>
        <v>3</v>
      </c>
      <c r="B4" s="115">
        <v>75459</v>
      </c>
      <c r="C4" s="116" t="s">
        <v>58</v>
      </c>
      <c r="D4" s="116" t="s">
        <v>59</v>
      </c>
      <c r="E4" s="116" t="s">
        <v>254</v>
      </c>
      <c r="F4" s="117" t="s">
        <v>269</v>
      </c>
      <c r="G4" s="118">
        <v>44084</v>
      </c>
      <c r="H4" s="118">
        <v>44814</v>
      </c>
      <c r="I4" s="37">
        <v>16945</v>
      </c>
      <c r="V4" s="114" t="s">
        <v>525</v>
      </c>
      <c r="W4" s="114">
        <v>2022</v>
      </c>
      <c r="X4" s="114" t="s">
        <v>452</v>
      </c>
    </row>
    <row r="5" spans="1:24" x14ac:dyDescent="0.3">
      <c r="A5" s="115">
        <f t="shared" si="0"/>
        <v>4</v>
      </c>
      <c r="B5" s="115">
        <v>25583</v>
      </c>
      <c r="C5" s="116" t="s">
        <v>32</v>
      </c>
      <c r="D5" s="116" t="s">
        <v>33</v>
      </c>
      <c r="E5" s="116" t="s">
        <v>219</v>
      </c>
      <c r="F5" s="117" t="s">
        <v>453</v>
      </c>
      <c r="G5" s="118">
        <v>43383</v>
      </c>
      <c r="H5" s="118">
        <v>44844</v>
      </c>
      <c r="I5" s="37">
        <v>16546</v>
      </c>
      <c r="V5" s="114" t="s">
        <v>526</v>
      </c>
      <c r="W5" s="114">
        <v>2023</v>
      </c>
      <c r="X5" s="114" t="s">
        <v>454</v>
      </c>
    </row>
    <row r="6" spans="1:24" x14ac:dyDescent="0.3">
      <c r="A6" s="115">
        <f t="shared" si="0"/>
        <v>5</v>
      </c>
      <c r="B6" s="115">
        <v>10149</v>
      </c>
      <c r="C6" s="116" t="s">
        <v>32</v>
      </c>
      <c r="D6" s="116" t="s">
        <v>34</v>
      </c>
      <c r="E6" s="116" t="s">
        <v>177</v>
      </c>
      <c r="F6" s="117" t="s">
        <v>271</v>
      </c>
      <c r="G6" s="118">
        <v>44114</v>
      </c>
      <c r="H6" s="118">
        <v>44783</v>
      </c>
      <c r="I6" s="37">
        <v>13106</v>
      </c>
      <c r="V6" s="114" t="s">
        <v>527</v>
      </c>
      <c r="W6" s="114">
        <v>2024</v>
      </c>
      <c r="X6" s="114" t="s">
        <v>455</v>
      </c>
    </row>
    <row r="7" spans="1:24" x14ac:dyDescent="0.3">
      <c r="A7" s="115">
        <f t="shared" si="0"/>
        <v>6</v>
      </c>
      <c r="B7" s="115">
        <v>20629</v>
      </c>
      <c r="C7" s="116" t="s">
        <v>32</v>
      </c>
      <c r="D7" s="116" t="s">
        <v>35</v>
      </c>
      <c r="E7" s="116" t="s">
        <v>215</v>
      </c>
      <c r="F7" s="117" t="s">
        <v>273</v>
      </c>
      <c r="G7" s="118">
        <v>42896</v>
      </c>
      <c r="H7" s="118">
        <v>44387</v>
      </c>
      <c r="I7" s="37">
        <v>15002</v>
      </c>
      <c r="V7" s="114" t="s">
        <v>528</v>
      </c>
      <c r="W7" s="114">
        <v>2025</v>
      </c>
    </row>
    <row r="8" spans="1:24" x14ac:dyDescent="0.3">
      <c r="A8" s="115">
        <f t="shared" si="0"/>
        <v>7</v>
      </c>
      <c r="B8" s="115">
        <v>54016</v>
      </c>
      <c r="C8" s="116" t="s">
        <v>73</v>
      </c>
      <c r="D8" s="116" t="s">
        <v>74</v>
      </c>
      <c r="E8" s="116" t="s">
        <v>240</v>
      </c>
      <c r="F8" s="117" t="s">
        <v>275</v>
      </c>
      <c r="G8" s="118">
        <v>43169</v>
      </c>
      <c r="H8" s="118">
        <v>44418</v>
      </c>
      <c r="I8" s="37">
        <v>11991</v>
      </c>
      <c r="V8" s="114" t="s">
        <v>529</v>
      </c>
    </row>
    <row r="9" spans="1:24" x14ac:dyDescent="0.3">
      <c r="A9" s="115">
        <f t="shared" si="0"/>
        <v>8</v>
      </c>
      <c r="B9" s="115">
        <v>78670</v>
      </c>
      <c r="C9" s="116" t="s">
        <v>73</v>
      </c>
      <c r="D9" s="116" t="s">
        <v>75</v>
      </c>
      <c r="E9" s="116" t="s">
        <v>215</v>
      </c>
      <c r="F9" s="117" t="s">
        <v>277</v>
      </c>
      <c r="G9" s="118">
        <v>42745</v>
      </c>
      <c r="H9" s="118">
        <v>44602</v>
      </c>
      <c r="I9" s="37">
        <v>18898</v>
      </c>
      <c r="V9" s="114" t="s">
        <v>530</v>
      </c>
    </row>
    <row r="10" spans="1:24" x14ac:dyDescent="0.3">
      <c r="A10" s="115">
        <f t="shared" si="0"/>
        <v>9</v>
      </c>
      <c r="B10" s="115">
        <v>22079</v>
      </c>
      <c r="C10" s="116" t="s">
        <v>73</v>
      </c>
      <c r="D10" s="116" t="s">
        <v>76</v>
      </c>
      <c r="E10" s="116" t="s">
        <v>240</v>
      </c>
      <c r="F10" s="117" t="s">
        <v>279</v>
      </c>
      <c r="G10" s="118">
        <v>43475</v>
      </c>
      <c r="H10" s="118">
        <v>44418</v>
      </c>
      <c r="I10" s="37">
        <v>15160</v>
      </c>
      <c r="V10" s="114" t="s">
        <v>531</v>
      </c>
    </row>
    <row r="11" spans="1:24" x14ac:dyDescent="0.3">
      <c r="A11" s="115">
        <f t="shared" si="0"/>
        <v>10</v>
      </c>
      <c r="B11" s="115">
        <v>25954</v>
      </c>
      <c r="C11" s="116" t="s">
        <v>73</v>
      </c>
      <c r="D11" s="116" t="s">
        <v>77</v>
      </c>
      <c r="E11" s="116" t="s">
        <v>240</v>
      </c>
      <c r="F11" s="117" t="s">
        <v>281</v>
      </c>
      <c r="G11" s="118">
        <v>42439</v>
      </c>
      <c r="H11" s="118">
        <v>44722</v>
      </c>
      <c r="I11" s="37">
        <v>15346</v>
      </c>
      <c r="V11" s="114" t="s">
        <v>532</v>
      </c>
    </row>
    <row r="12" spans="1:24" x14ac:dyDescent="0.3">
      <c r="A12" s="115">
        <f t="shared" si="0"/>
        <v>11</v>
      </c>
      <c r="B12" s="115">
        <v>59626</v>
      </c>
      <c r="C12" s="116" t="s">
        <v>73</v>
      </c>
      <c r="D12" s="116" t="s">
        <v>78</v>
      </c>
      <c r="E12" s="116" t="s">
        <v>225</v>
      </c>
      <c r="F12" s="117" t="s">
        <v>283</v>
      </c>
      <c r="G12" s="118">
        <v>43687</v>
      </c>
      <c r="H12" s="118">
        <v>44387</v>
      </c>
      <c r="I12" s="37">
        <v>10934</v>
      </c>
      <c r="V12" s="114" t="s">
        <v>533</v>
      </c>
    </row>
    <row r="13" spans="1:24" x14ac:dyDescent="0.3">
      <c r="A13" s="115">
        <f t="shared" si="0"/>
        <v>12</v>
      </c>
      <c r="B13" s="115">
        <v>86997</v>
      </c>
      <c r="C13" s="116" t="s">
        <v>140</v>
      </c>
      <c r="D13" s="116" t="s">
        <v>141</v>
      </c>
      <c r="E13" s="116" t="s">
        <v>260</v>
      </c>
      <c r="F13" s="117" t="s">
        <v>285</v>
      </c>
      <c r="G13" s="118">
        <v>43049</v>
      </c>
      <c r="H13" s="118">
        <v>44691</v>
      </c>
      <c r="I13" s="37">
        <v>17232</v>
      </c>
      <c r="V13" s="114" t="s">
        <v>534</v>
      </c>
    </row>
    <row r="14" spans="1:24" x14ac:dyDescent="0.3">
      <c r="A14" s="115">
        <f t="shared" si="0"/>
        <v>13</v>
      </c>
      <c r="B14" s="115">
        <v>15971</v>
      </c>
      <c r="C14" s="116" t="s">
        <v>81</v>
      </c>
      <c r="D14" s="116" t="s">
        <v>82</v>
      </c>
      <c r="E14" s="116" t="s">
        <v>237</v>
      </c>
      <c r="F14" s="117" t="s">
        <v>287</v>
      </c>
      <c r="G14" s="118">
        <v>42865</v>
      </c>
      <c r="H14" s="118">
        <v>44540</v>
      </c>
      <c r="I14" s="37">
        <v>13041</v>
      </c>
    </row>
    <row r="15" spans="1:24" x14ac:dyDescent="0.3">
      <c r="A15" s="115">
        <f t="shared" si="0"/>
        <v>14</v>
      </c>
      <c r="B15" s="115">
        <v>64442</v>
      </c>
      <c r="C15" s="116" t="s">
        <v>97</v>
      </c>
      <c r="D15" s="116" t="s">
        <v>98</v>
      </c>
      <c r="E15" s="116" t="s">
        <v>179</v>
      </c>
      <c r="F15" s="117" t="s">
        <v>289</v>
      </c>
      <c r="G15" s="118">
        <v>43230</v>
      </c>
      <c r="H15" s="118">
        <v>44602</v>
      </c>
      <c r="I15" s="37">
        <v>12810</v>
      </c>
    </row>
    <row r="16" spans="1:24" x14ac:dyDescent="0.3">
      <c r="A16" s="115">
        <f t="shared" si="0"/>
        <v>15</v>
      </c>
      <c r="B16" s="115">
        <v>33476</v>
      </c>
      <c r="C16" s="116" t="s">
        <v>62</v>
      </c>
      <c r="D16" s="116" t="s">
        <v>63</v>
      </c>
      <c r="E16" s="116" t="s">
        <v>179</v>
      </c>
      <c r="F16" s="117" t="s">
        <v>291</v>
      </c>
      <c r="G16" s="118">
        <v>44053</v>
      </c>
      <c r="H16" s="118">
        <v>44357</v>
      </c>
      <c r="I16" s="37">
        <v>19095</v>
      </c>
    </row>
    <row r="17" spans="1:9" x14ac:dyDescent="0.3">
      <c r="A17" s="115">
        <f t="shared" si="0"/>
        <v>16</v>
      </c>
      <c r="B17" s="115">
        <v>53718</v>
      </c>
      <c r="C17" s="116" t="s">
        <v>17</v>
      </c>
      <c r="D17" s="116" t="s">
        <v>18</v>
      </c>
      <c r="E17" s="116" t="s">
        <v>164</v>
      </c>
      <c r="F17" s="117" t="s">
        <v>293</v>
      </c>
      <c r="G17" s="118">
        <v>43291</v>
      </c>
      <c r="H17" s="118">
        <v>44571</v>
      </c>
      <c r="I17" s="37">
        <v>10273</v>
      </c>
    </row>
    <row r="18" spans="1:9" x14ac:dyDescent="0.3">
      <c r="A18" s="115">
        <f t="shared" si="0"/>
        <v>17</v>
      </c>
      <c r="B18" s="115">
        <v>74126</v>
      </c>
      <c r="C18" s="116" t="s">
        <v>29</v>
      </c>
      <c r="D18" s="116" t="s">
        <v>30</v>
      </c>
      <c r="E18" s="116" t="s">
        <v>164</v>
      </c>
      <c r="F18" s="117" t="s">
        <v>295</v>
      </c>
      <c r="G18" s="118">
        <v>43931</v>
      </c>
      <c r="H18" s="118">
        <v>44752</v>
      </c>
      <c r="I18" s="37">
        <v>15088</v>
      </c>
    </row>
    <row r="19" spans="1:9" x14ac:dyDescent="0.3">
      <c r="A19" s="115">
        <f t="shared" si="0"/>
        <v>18</v>
      </c>
      <c r="B19" s="115">
        <v>81801</v>
      </c>
      <c r="C19" s="116" t="s">
        <v>29</v>
      </c>
      <c r="D19" s="116" t="s">
        <v>31</v>
      </c>
      <c r="E19" s="116" t="s">
        <v>164</v>
      </c>
      <c r="F19" s="117" t="s">
        <v>297</v>
      </c>
      <c r="G19" s="118">
        <v>43687</v>
      </c>
      <c r="H19" s="118">
        <v>44326</v>
      </c>
      <c r="I19" s="37">
        <v>16021</v>
      </c>
    </row>
    <row r="20" spans="1:9" x14ac:dyDescent="0.3">
      <c r="A20" s="115">
        <f t="shared" si="0"/>
        <v>19</v>
      </c>
      <c r="B20" s="115">
        <v>93772</v>
      </c>
      <c r="C20" s="116" t="s">
        <v>108</v>
      </c>
      <c r="D20" s="116" t="s">
        <v>109</v>
      </c>
      <c r="E20" s="116" t="s">
        <v>223</v>
      </c>
      <c r="F20" s="117" t="s">
        <v>299</v>
      </c>
      <c r="G20" s="118">
        <v>44145</v>
      </c>
      <c r="H20" s="118">
        <v>44540</v>
      </c>
      <c r="I20" s="37">
        <v>17520</v>
      </c>
    </row>
    <row r="21" spans="1:9" x14ac:dyDescent="0.3">
      <c r="A21" s="115">
        <f t="shared" si="0"/>
        <v>20</v>
      </c>
      <c r="B21" s="115">
        <v>42103</v>
      </c>
      <c r="C21" s="116" t="s">
        <v>108</v>
      </c>
      <c r="D21" s="116" t="s">
        <v>110</v>
      </c>
      <c r="E21" s="116" t="s">
        <v>258</v>
      </c>
      <c r="F21" s="117" t="s">
        <v>302</v>
      </c>
      <c r="G21" s="118">
        <v>43141</v>
      </c>
      <c r="H21" s="118">
        <v>44783</v>
      </c>
      <c r="I21" s="37">
        <v>9308</v>
      </c>
    </row>
    <row r="22" spans="1:9" x14ac:dyDescent="0.3">
      <c r="A22" s="115">
        <f t="shared" si="0"/>
        <v>21</v>
      </c>
      <c r="B22" s="115">
        <v>13287</v>
      </c>
      <c r="C22" s="116" t="s">
        <v>140</v>
      </c>
      <c r="D22" s="116" t="s">
        <v>142</v>
      </c>
      <c r="E22" s="116" t="s">
        <v>205</v>
      </c>
      <c r="F22" s="117" t="s">
        <v>304</v>
      </c>
      <c r="G22" s="118">
        <v>42745</v>
      </c>
      <c r="H22" s="118">
        <v>44905</v>
      </c>
      <c r="I22" s="37">
        <v>13371</v>
      </c>
    </row>
    <row r="23" spans="1:9" x14ac:dyDescent="0.3">
      <c r="A23" s="115">
        <f t="shared" si="0"/>
        <v>22</v>
      </c>
      <c r="B23" s="115">
        <v>36380</v>
      </c>
      <c r="C23" s="116" t="s">
        <v>42</v>
      </c>
      <c r="D23" s="116" t="s">
        <v>43</v>
      </c>
      <c r="E23" s="116" t="s">
        <v>185</v>
      </c>
      <c r="F23" s="117" t="s">
        <v>306</v>
      </c>
      <c r="G23" s="118">
        <v>43383</v>
      </c>
      <c r="H23" s="118">
        <v>44479</v>
      </c>
      <c r="I23" s="37">
        <v>14989</v>
      </c>
    </row>
    <row r="24" spans="1:9" x14ac:dyDescent="0.3">
      <c r="A24" s="115">
        <f t="shared" si="0"/>
        <v>23</v>
      </c>
      <c r="B24" s="115">
        <v>32530</v>
      </c>
      <c r="C24" s="116" t="s">
        <v>124</v>
      </c>
      <c r="D24" s="116" t="s">
        <v>125</v>
      </c>
      <c r="E24" s="116" t="s">
        <v>203</v>
      </c>
      <c r="F24" s="117" t="s">
        <v>308</v>
      </c>
      <c r="G24" s="118">
        <v>43141</v>
      </c>
      <c r="H24" s="118">
        <v>44326</v>
      </c>
      <c r="I24" s="37">
        <v>13042</v>
      </c>
    </row>
    <row r="25" spans="1:9" x14ac:dyDescent="0.3">
      <c r="A25" s="115">
        <f t="shared" si="0"/>
        <v>24</v>
      </c>
      <c r="B25" s="115">
        <v>68576</v>
      </c>
      <c r="C25" s="116" t="s">
        <v>122</v>
      </c>
      <c r="D25" s="116" t="s">
        <v>123</v>
      </c>
      <c r="E25" s="116" t="s">
        <v>203</v>
      </c>
      <c r="F25" s="117" t="s">
        <v>310</v>
      </c>
      <c r="G25" s="118">
        <v>43230</v>
      </c>
      <c r="H25" s="118">
        <v>44661</v>
      </c>
      <c r="I25" s="37">
        <v>16655</v>
      </c>
    </row>
    <row r="26" spans="1:9" x14ac:dyDescent="0.3">
      <c r="A26" s="115">
        <f t="shared" si="0"/>
        <v>25</v>
      </c>
      <c r="B26" s="115">
        <v>30438</v>
      </c>
      <c r="C26" s="116" t="s">
        <v>62</v>
      </c>
      <c r="D26" s="116" t="s">
        <v>64</v>
      </c>
      <c r="E26" s="116" t="s">
        <v>209</v>
      </c>
      <c r="F26" s="117" t="s">
        <v>312</v>
      </c>
      <c r="G26" s="118">
        <v>42561</v>
      </c>
      <c r="H26" s="118">
        <v>44265</v>
      </c>
      <c r="I26" s="37">
        <v>10972</v>
      </c>
    </row>
    <row r="27" spans="1:9" x14ac:dyDescent="0.3">
      <c r="A27" s="115">
        <f t="shared" si="0"/>
        <v>26</v>
      </c>
      <c r="B27" s="115">
        <v>81818</v>
      </c>
      <c r="C27" s="116" t="s">
        <v>62</v>
      </c>
      <c r="D27" s="116" t="s">
        <v>65</v>
      </c>
      <c r="E27" s="116" t="s">
        <v>160</v>
      </c>
      <c r="F27" s="117" t="s">
        <v>314</v>
      </c>
      <c r="G27" s="118">
        <v>43931</v>
      </c>
      <c r="H27" s="118">
        <v>44237</v>
      </c>
      <c r="I27" s="37">
        <v>19191</v>
      </c>
    </row>
    <row r="28" spans="1:9" x14ac:dyDescent="0.3">
      <c r="A28" s="115">
        <f t="shared" si="0"/>
        <v>27</v>
      </c>
      <c r="B28" s="115">
        <v>41278</v>
      </c>
      <c r="C28" s="116" t="s">
        <v>62</v>
      </c>
      <c r="D28" s="116" t="s">
        <v>66</v>
      </c>
      <c r="E28" s="116" t="s">
        <v>160</v>
      </c>
      <c r="F28" s="117" t="s">
        <v>316</v>
      </c>
      <c r="G28" s="118">
        <v>43748</v>
      </c>
      <c r="H28" s="118">
        <v>44206</v>
      </c>
      <c r="I28" s="37">
        <v>9733</v>
      </c>
    </row>
    <row r="29" spans="1:9" x14ac:dyDescent="0.3">
      <c r="A29" s="115">
        <f t="shared" si="0"/>
        <v>28</v>
      </c>
      <c r="B29" s="115">
        <v>28451</v>
      </c>
      <c r="C29" s="116" t="s">
        <v>62</v>
      </c>
      <c r="D29" s="116" t="s">
        <v>67</v>
      </c>
      <c r="E29" s="116" t="s">
        <v>213</v>
      </c>
      <c r="F29" s="117" t="s">
        <v>318</v>
      </c>
      <c r="G29" s="118">
        <v>42561</v>
      </c>
      <c r="H29" s="118">
        <v>44814</v>
      </c>
      <c r="I29" s="37">
        <v>11128</v>
      </c>
    </row>
    <row r="30" spans="1:9" x14ac:dyDescent="0.3">
      <c r="A30" s="115">
        <f t="shared" si="0"/>
        <v>29</v>
      </c>
      <c r="B30" s="115">
        <v>81893</v>
      </c>
      <c r="C30" s="116" t="s">
        <v>62</v>
      </c>
      <c r="D30" s="116" t="s">
        <v>68</v>
      </c>
      <c r="E30" s="116" t="s">
        <v>160</v>
      </c>
      <c r="F30" s="117" t="s">
        <v>320</v>
      </c>
      <c r="G30" s="118">
        <v>42988</v>
      </c>
      <c r="H30" s="118">
        <v>44387</v>
      </c>
      <c r="I30" s="37">
        <v>19793</v>
      </c>
    </row>
    <row r="31" spans="1:9" x14ac:dyDescent="0.3">
      <c r="A31" s="115">
        <f t="shared" si="0"/>
        <v>30</v>
      </c>
      <c r="B31" s="115">
        <v>56577</v>
      </c>
      <c r="C31" s="116" t="s">
        <v>62</v>
      </c>
      <c r="D31" s="116" t="s">
        <v>69</v>
      </c>
      <c r="E31" s="116" t="s">
        <v>213</v>
      </c>
      <c r="F31" s="117" t="s">
        <v>322</v>
      </c>
      <c r="G31" s="118">
        <v>43383</v>
      </c>
      <c r="H31" s="118">
        <v>44661</v>
      </c>
      <c r="I31" s="37">
        <v>10224</v>
      </c>
    </row>
    <row r="32" spans="1:9" x14ac:dyDescent="0.3">
      <c r="A32" s="115">
        <f t="shared" si="0"/>
        <v>31</v>
      </c>
      <c r="B32" s="115">
        <v>37489</v>
      </c>
      <c r="C32" s="116" t="s">
        <v>62</v>
      </c>
      <c r="D32" s="116" t="s">
        <v>70</v>
      </c>
      <c r="E32" s="116" t="s">
        <v>160</v>
      </c>
      <c r="F32" s="117" t="s">
        <v>323</v>
      </c>
      <c r="G32" s="118">
        <v>42561</v>
      </c>
      <c r="H32" s="118">
        <v>44387</v>
      </c>
      <c r="I32" s="37">
        <v>19073</v>
      </c>
    </row>
    <row r="33" spans="1:9" x14ac:dyDescent="0.3">
      <c r="A33" s="115">
        <f t="shared" si="0"/>
        <v>32</v>
      </c>
      <c r="B33" s="115">
        <v>14632</v>
      </c>
      <c r="C33" s="116" t="s">
        <v>62</v>
      </c>
      <c r="D33" s="116" t="s">
        <v>71</v>
      </c>
      <c r="E33" s="116" t="s">
        <v>213</v>
      </c>
      <c r="F33" s="117" t="s">
        <v>325</v>
      </c>
      <c r="G33" s="118">
        <v>43900</v>
      </c>
      <c r="H33" s="118">
        <v>44449</v>
      </c>
      <c r="I33" s="37">
        <v>12749</v>
      </c>
    </row>
    <row r="34" spans="1:9" x14ac:dyDescent="0.3">
      <c r="A34" s="115">
        <f t="shared" si="0"/>
        <v>33</v>
      </c>
      <c r="B34" s="115">
        <v>29368</v>
      </c>
      <c r="C34" s="116" t="s">
        <v>62</v>
      </c>
      <c r="D34" s="116" t="s">
        <v>72</v>
      </c>
      <c r="E34" s="116" t="s">
        <v>213</v>
      </c>
      <c r="F34" s="117" t="s">
        <v>327</v>
      </c>
      <c r="G34" s="118">
        <v>44114</v>
      </c>
      <c r="H34" s="118">
        <v>44602</v>
      </c>
      <c r="I34" s="37">
        <v>12185</v>
      </c>
    </row>
    <row r="35" spans="1:9" x14ac:dyDescent="0.3">
      <c r="A35" s="115">
        <f t="shared" si="0"/>
        <v>34</v>
      </c>
      <c r="B35" s="115">
        <v>25088</v>
      </c>
      <c r="C35" s="116" t="s">
        <v>147</v>
      </c>
      <c r="D35" s="116" t="s">
        <v>148</v>
      </c>
      <c r="E35" s="116" t="s">
        <v>162</v>
      </c>
      <c r="F35" s="117" t="s">
        <v>329</v>
      </c>
      <c r="G35" s="118">
        <v>43748</v>
      </c>
      <c r="H35" s="118">
        <v>44479</v>
      </c>
      <c r="I35" s="37">
        <v>12511</v>
      </c>
    </row>
    <row r="36" spans="1:9" x14ac:dyDescent="0.3">
      <c r="A36" s="115">
        <f t="shared" si="0"/>
        <v>35</v>
      </c>
      <c r="B36" s="115">
        <v>63823</v>
      </c>
      <c r="C36" s="116" t="s">
        <v>147</v>
      </c>
      <c r="D36" s="116" t="s">
        <v>149</v>
      </c>
      <c r="E36" s="116" t="s">
        <v>211</v>
      </c>
      <c r="F36" s="117" t="s">
        <v>331</v>
      </c>
      <c r="G36" s="118">
        <v>43049</v>
      </c>
      <c r="H36" s="118">
        <v>44661</v>
      </c>
      <c r="I36" s="37">
        <v>18716</v>
      </c>
    </row>
    <row r="37" spans="1:9" x14ac:dyDescent="0.3">
      <c r="A37" s="115">
        <f t="shared" si="0"/>
        <v>36</v>
      </c>
      <c r="B37" s="115">
        <v>39028</v>
      </c>
      <c r="C37" s="116" t="s">
        <v>111</v>
      </c>
      <c r="D37" s="116" t="s">
        <v>113</v>
      </c>
      <c r="E37" s="116" t="s">
        <v>175</v>
      </c>
      <c r="F37" s="117" t="s">
        <v>333</v>
      </c>
      <c r="G37" s="118">
        <v>42684</v>
      </c>
      <c r="H37" s="118">
        <v>44571</v>
      </c>
      <c r="I37" s="37">
        <v>12513</v>
      </c>
    </row>
    <row r="38" spans="1:9" x14ac:dyDescent="0.3">
      <c r="A38" s="115">
        <f t="shared" si="0"/>
        <v>37</v>
      </c>
      <c r="B38" s="115">
        <v>23082</v>
      </c>
      <c r="C38" s="116" t="s">
        <v>44</v>
      </c>
      <c r="D38" s="116" t="s">
        <v>45</v>
      </c>
      <c r="E38" s="116" t="s">
        <v>175</v>
      </c>
      <c r="F38" s="117" t="s">
        <v>335</v>
      </c>
      <c r="G38" s="118">
        <v>43322</v>
      </c>
      <c r="H38" s="118">
        <v>44357</v>
      </c>
      <c r="I38" s="37">
        <v>16747</v>
      </c>
    </row>
    <row r="39" spans="1:9" x14ac:dyDescent="0.3">
      <c r="A39" s="115">
        <f t="shared" si="0"/>
        <v>38</v>
      </c>
      <c r="B39" s="115">
        <v>72220</v>
      </c>
      <c r="C39" s="116" t="s">
        <v>44</v>
      </c>
      <c r="D39" s="116" t="s">
        <v>46</v>
      </c>
      <c r="E39" s="116" t="s">
        <v>189</v>
      </c>
      <c r="F39" s="117" t="s">
        <v>337</v>
      </c>
      <c r="G39" s="118">
        <v>42714</v>
      </c>
      <c r="H39" s="118">
        <v>44630</v>
      </c>
      <c r="I39" s="37">
        <v>14816</v>
      </c>
    </row>
    <row r="40" spans="1:9" x14ac:dyDescent="0.3">
      <c r="A40" s="115">
        <f t="shared" si="0"/>
        <v>39</v>
      </c>
      <c r="B40" s="115">
        <v>43105</v>
      </c>
      <c r="C40" s="116" t="s">
        <v>73</v>
      </c>
      <c r="D40" s="116" t="s">
        <v>79</v>
      </c>
      <c r="E40" s="116" t="s">
        <v>191</v>
      </c>
      <c r="F40" s="117" t="s">
        <v>339</v>
      </c>
      <c r="G40" s="118">
        <v>43595</v>
      </c>
      <c r="H40" s="118">
        <v>44661</v>
      </c>
      <c r="I40" s="37">
        <v>9637</v>
      </c>
    </row>
    <row r="41" spans="1:9" x14ac:dyDescent="0.3">
      <c r="A41" s="115">
        <f t="shared" si="0"/>
        <v>40</v>
      </c>
      <c r="B41" s="115">
        <v>35712</v>
      </c>
      <c r="C41" s="116" t="s">
        <v>40</v>
      </c>
      <c r="D41" s="116" t="s">
        <v>41</v>
      </c>
      <c r="E41" s="116" t="s">
        <v>193</v>
      </c>
      <c r="F41" s="117" t="s">
        <v>341</v>
      </c>
      <c r="G41" s="118">
        <v>43900</v>
      </c>
      <c r="H41" s="118">
        <v>44752</v>
      </c>
      <c r="I41" s="37">
        <v>16942</v>
      </c>
    </row>
    <row r="42" spans="1:9" x14ac:dyDescent="0.3">
      <c r="A42" s="115">
        <f t="shared" si="0"/>
        <v>41</v>
      </c>
      <c r="B42" s="115">
        <v>97079</v>
      </c>
      <c r="C42" s="116" t="s">
        <v>106</v>
      </c>
      <c r="D42" s="116" t="s">
        <v>107</v>
      </c>
      <c r="E42" s="116" t="s">
        <v>195</v>
      </c>
      <c r="F42" s="117" t="s">
        <v>343</v>
      </c>
      <c r="G42" s="118">
        <v>43018</v>
      </c>
      <c r="H42" s="118">
        <v>44387</v>
      </c>
      <c r="I42" s="37">
        <v>18302</v>
      </c>
    </row>
    <row r="43" spans="1:9" x14ac:dyDescent="0.3">
      <c r="A43" s="115">
        <f t="shared" si="0"/>
        <v>42</v>
      </c>
      <c r="B43" s="115">
        <v>84676</v>
      </c>
      <c r="C43" s="116" t="s">
        <v>47</v>
      </c>
      <c r="D43" s="116" t="s">
        <v>48</v>
      </c>
      <c r="E43" s="116" t="s">
        <v>195</v>
      </c>
      <c r="F43" s="117" t="s">
        <v>345</v>
      </c>
      <c r="G43" s="118">
        <v>42623</v>
      </c>
      <c r="H43" s="118">
        <v>44602</v>
      </c>
      <c r="I43" s="37">
        <v>9341</v>
      </c>
    </row>
    <row r="44" spans="1:9" x14ac:dyDescent="0.3">
      <c r="A44" s="115">
        <f t="shared" si="0"/>
        <v>43</v>
      </c>
      <c r="B44" s="115">
        <v>38738</v>
      </c>
      <c r="C44" s="116" t="s">
        <v>60</v>
      </c>
      <c r="D44" s="116" t="s">
        <v>61</v>
      </c>
      <c r="E44" s="116" t="s">
        <v>175</v>
      </c>
      <c r="F44" s="117" t="s">
        <v>347</v>
      </c>
      <c r="G44" s="118">
        <v>43291</v>
      </c>
      <c r="H44" s="118">
        <v>44691</v>
      </c>
      <c r="I44" s="37">
        <v>12060</v>
      </c>
    </row>
    <row r="45" spans="1:9" x14ac:dyDescent="0.3">
      <c r="A45" s="115">
        <f t="shared" si="0"/>
        <v>44</v>
      </c>
      <c r="B45" s="115">
        <v>59150</v>
      </c>
      <c r="C45" s="116" t="s">
        <v>49</v>
      </c>
      <c r="D45" s="116" t="s">
        <v>51</v>
      </c>
      <c r="E45" s="116" t="s">
        <v>175</v>
      </c>
      <c r="F45" s="117" t="s">
        <v>349</v>
      </c>
      <c r="G45" s="118">
        <v>42653</v>
      </c>
      <c r="H45" s="118">
        <v>44783</v>
      </c>
      <c r="I45" s="37">
        <v>9865</v>
      </c>
    </row>
    <row r="46" spans="1:9" x14ac:dyDescent="0.3">
      <c r="A46" s="115">
        <f t="shared" si="0"/>
        <v>45</v>
      </c>
      <c r="B46" s="115">
        <v>40981</v>
      </c>
      <c r="C46" s="116" t="s">
        <v>49</v>
      </c>
      <c r="D46" s="116" t="s">
        <v>52</v>
      </c>
      <c r="E46" s="116" t="s">
        <v>175</v>
      </c>
      <c r="F46" s="117" t="s">
        <v>351</v>
      </c>
      <c r="G46" s="118">
        <v>42988</v>
      </c>
      <c r="H46" s="118">
        <v>44206</v>
      </c>
      <c r="I46" s="37">
        <v>19727</v>
      </c>
    </row>
    <row r="47" spans="1:9" x14ac:dyDescent="0.3">
      <c r="A47" s="115">
        <f t="shared" si="0"/>
        <v>46</v>
      </c>
      <c r="B47" s="115">
        <v>82823</v>
      </c>
      <c r="C47" s="116" t="s">
        <v>49</v>
      </c>
      <c r="D47" s="116" t="s">
        <v>53</v>
      </c>
      <c r="E47" s="116" t="s">
        <v>166</v>
      </c>
      <c r="F47" s="117" t="s">
        <v>353</v>
      </c>
      <c r="G47" s="118">
        <v>42896</v>
      </c>
      <c r="H47" s="118">
        <v>44540</v>
      </c>
      <c r="I47" s="37">
        <v>12392</v>
      </c>
    </row>
    <row r="48" spans="1:9" x14ac:dyDescent="0.3">
      <c r="A48" s="115">
        <f t="shared" si="0"/>
        <v>47</v>
      </c>
      <c r="B48" s="115">
        <v>65963</v>
      </c>
      <c r="C48" s="116" t="s">
        <v>49</v>
      </c>
      <c r="D48" s="116" t="s">
        <v>54</v>
      </c>
      <c r="E48" s="116" t="s">
        <v>166</v>
      </c>
      <c r="F48" s="117" t="s">
        <v>355</v>
      </c>
      <c r="G48" s="118">
        <v>43261</v>
      </c>
      <c r="H48" s="118">
        <v>44752</v>
      </c>
      <c r="I48" s="37">
        <v>17221</v>
      </c>
    </row>
    <row r="49" spans="1:9" x14ac:dyDescent="0.3">
      <c r="A49" s="115">
        <f t="shared" si="0"/>
        <v>48</v>
      </c>
      <c r="B49" s="115">
        <v>32040</v>
      </c>
      <c r="C49" s="116" t="s">
        <v>49</v>
      </c>
      <c r="D49" s="116" t="s">
        <v>55</v>
      </c>
      <c r="E49" s="116" t="s">
        <v>166</v>
      </c>
      <c r="F49" s="117" t="s">
        <v>357</v>
      </c>
      <c r="G49" s="118">
        <v>42592</v>
      </c>
      <c r="H49" s="118">
        <v>44722</v>
      </c>
      <c r="I49" s="37">
        <v>9059</v>
      </c>
    </row>
    <row r="50" spans="1:9" x14ac:dyDescent="0.3">
      <c r="A50" s="115">
        <f t="shared" si="0"/>
        <v>49</v>
      </c>
      <c r="B50" s="115">
        <v>57773</v>
      </c>
      <c r="C50" s="116" t="s">
        <v>49</v>
      </c>
      <c r="D50" s="116" t="s">
        <v>56</v>
      </c>
      <c r="E50" s="116" t="s">
        <v>166</v>
      </c>
      <c r="F50" s="117" t="s">
        <v>359</v>
      </c>
      <c r="G50" s="118">
        <v>42896</v>
      </c>
      <c r="H50" s="118">
        <v>44875</v>
      </c>
      <c r="I50" s="37">
        <v>14121</v>
      </c>
    </row>
    <row r="51" spans="1:9" x14ac:dyDescent="0.3">
      <c r="A51" s="115">
        <f t="shared" si="0"/>
        <v>50</v>
      </c>
      <c r="B51" s="115">
        <v>43394</v>
      </c>
      <c r="C51" s="116" t="s">
        <v>49</v>
      </c>
      <c r="D51" s="116" t="s">
        <v>57</v>
      </c>
      <c r="E51" s="116" t="s">
        <v>166</v>
      </c>
      <c r="F51" s="117" t="s">
        <v>361</v>
      </c>
      <c r="G51" s="118">
        <v>42500</v>
      </c>
      <c r="H51" s="118">
        <v>44510</v>
      </c>
      <c r="I51" s="37">
        <v>14562</v>
      </c>
    </row>
    <row r="52" spans="1:9" x14ac:dyDescent="0.25">
      <c r="A52" s="115">
        <f t="shared" si="0"/>
        <v>51</v>
      </c>
      <c r="B52" s="115">
        <v>75382</v>
      </c>
      <c r="C52" s="116" t="s">
        <v>134</v>
      </c>
      <c r="D52" s="116" t="s">
        <v>135</v>
      </c>
      <c r="E52" s="116" t="s">
        <v>166</v>
      </c>
      <c r="F52" s="116" t="s">
        <v>363</v>
      </c>
      <c r="G52" s="118">
        <v>42500</v>
      </c>
      <c r="H52" s="118">
        <v>44387</v>
      </c>
      <c r="I52" s="37">
        <v>10190</v>
      </c>
    </row>
    <row r="53" spans="1:9" x14ac:dyDescent="0.25">
      <c r="A53" s="115">
        <f t="shared" si="0"/>
        <v>52</v>
      </c>
      <c r="B53" s="115">
        <v>59743</v>
      </c>
      <c r="C53" s="116" t="s">
        <v>134</v>
      </c>
      <c r="D53" s="116" t="s">
        <v>136</v>
      </c>
      <c r="E53" s="116" t="s">
        <v>171</v>
      </c>
      <c r="F53" s="116" t="s">
        <v>365</v>
      </c>
      <c r="G53" s="118">
        <v>43322</v>
      </c>
      <c r="H53" s="118">
        <v>44418</v>
      </c>
      <c r="I53" s="37">
        <v>18448</v>
      </c>
    </row>
    <row r="54" spans="1:9" x14ac:dyDescent="0.25">
      <c r="A54" s="115">
        <f t="shared" si="0"/>
        <v>53</v>
      </c>
      <c r="B54" s="115">
        <v>53887</v>
      </c>
      <c r="C54" s="116" t="s">
        <v>20</v>
      </c>
      <c r="D54" s="116" t="s">
        <v>21</v>
      </c>
      <c r="E54" s="116" t="s">
        <v>244</v>
      </c>
      <c r="F54" s="116" t="s">
        <v>367</v>
      </c>
      <c r="G54" s="118">
        <v>44175</v>
      </c>
      <c r="H54" s="118">
        <v>44844</v>
      </c>
      <c r="I54" s="37">
        <v>12083</v>
      </c>
    </row>
    <row r="55" spans="1:9" x14ac:dyDescent="0.25">
      <c r="A55" s="115">
        <f t="shared" si="0"/>
        <v>54</v>
      </c>
      <c r="B55" s="115">
        <v>33749</v>
      </c>
      <c r="C55" s="116" t="s">
        <v>114</v>
      </c>
      <c r="D55" s="116" t="s">
        <v>115</v>
      </c>
      <c r="E55" s="116" t="s">
        <v>221</v>
      </c>
      <c r="F55" s="116" t="s">
        <v>369</v>
      </c>
      <c r="G55" s="118">
        <v>42500</v>
      </c>
      <c r="H55" s="118">
        <v>44630</v>
      </c>
      <c r="I55" s="37">
        <v>15159</v>
      </c>
    </row>
    <row r="56" spans="1:9" x14ac:dyDescent="0.25">
      <c r="A56" s="115">
        <f t="shared" si="0"/>
        <v>55</v>
      </c>
      <c r="B56" s="115">
        <v>19260</v>
      </c>
      <c r="C56" s="116" t="s">
        <v>11</v>
      </c>
      <c r="D56" s="116" t="s">
        <v>12</v>
      </c>
      <c r="E56" s="116" t="s">
        <v>221</v>
      </c>
      <c r="F56" s="116" t="s">
        <v>371</v>
      </c>
      <c r="G56" s="118">
        <v>43110</v>
      </c>
      <c r="H56" s="118">
        <v>44722</v>
      </c>
      <c r="I56" s="37">
        <v>13972</v>
      </c>
    </row>
    <row r="57" spans="1:9" x14ac:dyDescent="0.25">
      <c r="A57" s="115">
        <f t="shared" si="0"/>
        <v>56</v>
      </c>
      <c r="B57" s="115">
        <v>98781</v>
      </c>
      <c r="C57" s="116" t="s">
        <v>92</v>
      </c>
      <c r="D57" s="116" t="s">
        <v>93</v>
      </c>
      <c r="E57" s="116" t="s">
        <v>231</v>
      </c>
      <c r="F57" s="116" t="s">
        <v>373</v>
      </c>
      <c r="G57" s="118">
        <v>42623</v>
      </c>
      <c r="H57" s="118">
        <v>44540</v>
      </c>
      <c r="I57" s="37">
        <v>14757</v>
      </c>
    </row>
    <row r="58" spans="1:9" x14ac:dyDescent="0.25">
      <c r="A58" s="115">
        <f t="shared" si="0"/>
        <v>57</v>
      </c>
      <c r="B58" s="115">
        <v>61771</v>
      </c>
      <c r="C58" s="116" t="s">
        <v>37</v>
      </c>
      <c r="D58" s="116" t="s">
        <v>38</v>
      </c>
      <c r="E58" s="116" t="s">
        <v>231</v>
      </c>
      <c r="F58" s="116" t="s">
        <v>375</v>
      </c>
      <c r="G58" s="118">
        <v>42835</v>
      </c>
      <c r="H58" s="118">
        <v>44387</v>
      </c>
      <c r="I58" s="37">
        <v>14231</v>
      </c>
    </row>
    <row r="59" spans="1:9" x14ac:dyDescent="0.25">
      <c r="A59" s="115">
        <f t="shared" si="0"/>
        <v>58</v>
      </c>
      <c r="B59" s="115">
        <v>36099</v>
      </c>
      <c r="C59" s="116" t="s">
        <v>26</v>
      </c>
      <c r="D59" s="116" t="s">
        <v>27</v>
      </c>
      <c r="E59" s="116" t="s">
        <v>250</v>
      </c>
      <c r="F59" s="116" t="s">
        <v>377</v>
      </c>
      <c r="G59" s="118">
        <v>43687</v>
      </c>
      <c r="H59" s="118">
        <v>44691</v>
      </c>
      <c r="I59" s="37">
        <v>12418</v>
      </c>
    </row>
    <row r="60" spans="1:9" x14ac:dyDescent="0.25">
      <c r="A60" s="115">
        <f t="shared" si="0"/>
        <v>59</v>
      </c>
      <c r="B60" s="115">
        <v>96222</v>
      </c>
      <c r="C60" s="116" t="s">
        <v>20</v>
      </c>
      <c r="D60" s="116" t="s">
        <v>22</v>
      </c>
      <c r="E60" s="116" t="s">
        <v>256</v>
      </c>
      <c r="F60" s="116" t="s">
        <v>379</v>
      </c>
      <c r="G60" s="118">
        <v>43992</v>
      </c>
      <c r="H60" s="118">
        <v>44357</v>
      </c>
      <c r="I60" s="37">
        <v>14478</v>
      </c>
    </row>
    <row r="61" spans="1:9" x14ac:dyDescent="0.25">
      <c r="A61" s="115">
        <f t="shared" si="0"/>
        <v>60</v>
      </c>
      <c r="B61" s="115">
        <v>67559</v>
      </c>
      <c r="C61" s="116" t="s">
        <v>11</v>
      </c>
      <c r="D61" s="116" t="s">
        <v>14</v>
      </c>
      <c r="E61" s="116" t="s">
        <v>173</v>
      </c>
      <c r="F61" s="116" t="s">
        <v>381</v>
      </c>
      <c r="G61" s="118">
        <v>42500</v>
      </c>
      <c r="H61" s="118">
        <v>44326</v>
      </c>
      <c r="I61" s="37">
        <v>9101</v>
      </c>
    </row>
    <row r="62" spans="1:9" x14ac:dyDescent="0.25">
      <c r="A62" s="115">
        <f t="shared" si="0"/>
        <v>61</v>
      </c>
      <c r="B62" s="115">
        <v>83435</v>
      </c>
      <c r="C62" s="116" t="s">
        <v>143</v>
      </c>
      <c r="D62" s="116" t="s">
        <v>144</v>
      </c>
      <c r="E62" s="116" t="s">
        <v>248</v>
      </c>
      <c r="F62" s="116" t="s">
        <v>383</v>
      </c>
      <c r="G62" s="118">
        <v>42379</v>
      </c>
      <c r="H62" s="118">
        <v>44905</v>
      </c>
      <c r="I62" s="37">
        <v>14784</v>
      </c>
    </row>
    <row r="63" spans="1:9" x14ac:dyDescent="0.25">
      <c r="A63" s="115">
        <f t="shared" si="0"/>
        <v>62</v>
      </c>
      <c r="B63" s="115">
        <v>80691</v>
      </c>
      <c r="C63" s="116" t="s">
        <v>92</v>
      </c>
      <c r="D63" s="116" t="s">
        <v>94</v>
      </c>
      <c r="E63" s="116" t="s">
        <v>248</v>
      </c>
      <c r="F63" s="116" t="s">
        <v>385</v>
      </c>
      <c r="G63" s="118">
        <v>42926</v>
      </c>
      <c r="H63" s="118">
        <v>44844</v>
      </c>
      <c r="I63" s="37">
        <v>19256</v>
      </c>
    </row>
    <row r="64" spans="1:9" x14ac:dyDescent="0.25">
      <c r="A64" s="115">
        <f t="shared" si="0"/>
        <v>63</v>
      </c>
      <c r="B64" s="115">
        <v>42965</v>
      </c>
      <c r="C64" s="116" t="s">
        <v>114</v>
      </c>
      <c r="D64" s="116" t="s">
        <v>116</v>
      </c>
      <c r="E64" s="116" t="s">
        <v>248</v>
      </c>
      <c r="F64" s="116" t="s">
        <v>387</v>
      </c>
      <c r="G64" s="118">
        <v>42592</v>
      </c>
      <c r="H64" s="118">
        <v>44479</v>
      </c>
      <c r="I64" s="37">
        <v>18673</v>
      </c>
    </row>
    <row r="65" spans="1:9" x14ac:dyDescent="0.25">
      <c r="A65" s="115">
        <f t="shared" si="0"/>
        <v>64</v>
      </c>
      <c r="B65" s="115">
        <v>14342</v>
      </c>
      <c r="C65" s="116" t="s">
        <v>114</v>
      </c>
      <c r="D65" s="116" t="s">
        <v>117</v>
      </c>
      <c r="E65" s="116" t="s">
        <v>242</v>
      </c>
      <c r="F65" s="116" t="s">
        <v>389</v>
      </c>
      <c r="G65" s="118">
        <v>43322</v>
      </c>
      <c r="H65" s="118">
        <v>44510</v>
      </c>
      <c r="I65" s="37">
        <v>14479</v>
      </c>
    </row>
    <row r="66" spans="1:9" x14ac:dyDescent="0.25">
      <c r="A66" s="115">
        <f t="shared" ref="A66:A92" si="1">ROW()-1</f>
        <v>65</v>
      </c>
      <c r="B66" s="115">
        <v>19846</v>
      </c>
      <c r="C66" s="116" t="s">
        <v>11</v>
      </c>
      <c r="D66" s="116" t="s">
        <v>15</v>
      </c>
      <c r="E66" s="116" t="s">
        <v>207</v>
      </c>
      <c r="F66" s="116" t="s">
        <v>391</v>
      </c>
      <c r="G66" s="118">
        <v>44053</v>
      </c>
      <c r="H66" s="118">
        <v>44510</v>
      </c>
      <c r="I66" s="37">
        <v>15933</v>
      </c>
    </row>
    <row r="67" spans="1:9" x14ac:dyDescent="0.25">
      <c r="A67" s="115">
        <f t="shared" si="1"/>
        <v>66</v>
      </c>
      <c r="B67" s="115">
        <v>33261</v>
      </c>
      <c r="C67" s="116" t="s">
        <v>134</v>
      </c>
      <c r="D67" s="116" t="s">
        <v>137</v>
      </c>
      <c r="E67" s="116" t="s">
        <v>181</v>
      </c>
      <c r="F67" s="116" t="s">
        <v>393</v>
      </c>
      <c r="G67" s="118">
        <v>43687</v>
      </c>
      <c r="H67" s="118">
        <v>44905</v>
      </c>
      <c r="I67" s="37">
        <v>11792</v>
      </c>
    </row>
    <row r="68" spans="1:9" x14ac:dyDescent="0.25">
      <c r="A68" s="115">
        <f t="shared" si="1"/>
        <v>67</v>
      </c>
      <c r="B68" s="115">
        <v>32419</v>
      </c>
      <c r="C68" s="116" t="s">
        <v>26</v>
      </c>
      <c r="D68" s="116" t="s">
        <v>28</v>
      </c>
      <c r="E68" s="116" t="s">
        <v>181</v>
      </c>
      <c r="F68" s="116" t="s">
        <v>395</v>
      </c>
      <c r="G68" s="118">
        <v>42500</v>
      </c>
      <c r="H68" s="118">
        <v>44357</v>
      </c>
      <c r="I68" s="37">
        <v>14024</v>
      </c>
    </row>
    <row r="69" spans="1:9" x14ac:dyDescent="0.25">
      <c r="A69" s="115">
        <f t="shared" si="1"/>
        <v>68</v>
      </c>
      <c r="B69" s="115">
        <v>32806</v>
      </c>
      <c r="C69" s="116" t="s">
        <v>126</v>
      </c>
      <c r="D69" s="116" t="s">
        <v>127</v>
      </c>
      <c r="E69" s="116" t="s">
        <v>158</v>
      </c>
      <c r="F69" s="116" t="s">
        <v>397</v>
      </c>
      <c r="G69" s="118">
        <v>42988</v>
      </c>
      <c r="H69" s="118">
        <v>44783</v>
      </c>
      <c r="I69" s="37">
        <v>19042</v>
      </c>
    </row>
    <row r="70" spans="1:9" x14ac:dyDescent="0.25">
      <c r="A70" s="115">
        <f t="shared" si="1"/>
        <v>69</v>
      </c>
      <c r="B70" s="115">
        <v>41507</v>
      </c>
      <c r="C70" s="116" t="s">
        <v>239</v>
      </c>
      <c r="D70" s="116" t="s">
        <v>456</v>
      </c>
      <c r="E70" s="116" t="s">
        <v>201</v>
      </c>
      <c r="F70" s="116" t="s">
        <v>399</v>
      </c>
      <c r="G70" s="118">
        <v>42926</v>
      </c>
      <c r="H70" s="118">
        <v>44265</v>
      </c>
      <c r="I70" s="37">
        <v>16067</v>
      </c>
    </row>
    <row r="71" spans="1:9" x14ac:dyDescent="0.25">
      <c r="A71" s="115">
        <f t="shared" si="1"/>
        <v>70</v>
      </c>
      <c r="B71" s="115">
        <v>60492</v>
      </c>
      <c r="C71" s="116" t="s">
        <v>143</v>
      </c>
      <c r="D71" s="116" t="s">
        <v>145</v>
      </c>
      <c r="E71" s="116" t="s">
        <v>217</v>
      </c>
      <c r="F71" s="116" t="s">
        <v>401</v>
      </c>
      <c r="G71" s="118">
        <v>43656</v>
      </c>
      <c r="H71" s="118">
        <v>44844</v>
      </c>
      <c r="I71" s="37">
        <v>13007</v>
      </c>
    </row>
    <row r="72" spans="1:9" x14ac:dyDescent="0.25">
      <c r="A72" s="115">
        <f t="shared" si="1"/>
        <v>71</v>
      </c>
      <c r="B72" s="115">
        <v>18260</v>
      </c>
      <c r="C72" s="116" t="s">
        <v>20</v>
      </c>
      <c r="D72" s="116" t="s">
        <v>23</v>
      </c>
      <c r="E72" s="116" t="s">
        <v>233</v>
      </c>
      <c r="F72" s="116" t="s">
        <v>403</v>
      </c>
      <c r="G72" s="118">
        <v>43414</v>
      </c>
      <c r="H72" s="118">
        <v>44905</v>
      </c>
      <c r="I72" s="37">
        <v>16200</v>
      </c>
    </row>
    <row r="73" spans="1:9" x14ac:dyDescent="0.25">
      <c r="A73" s="115">
        <f t="shared" si="1"/>
        <v>72</v>
      </c>
      <c r="B73" s="115">
        <v>47647</v>
      </c>
      <c r="C73" s="116" t="s">
        <v>11</v>
      </c>
      <c r="D73" s="116" t="s">
        <v>16</v>
      </c>
      <c r="E73" s="116" t="s">
        <v>217</v>
      </c>
      <c r="F73" s="116" t="s">
        <v>405</v>
      </c>
      <c r="G73" s="118">
        <v>42896</v>
      </c>
      <c r="H73" s="118">
        <v>44722</v>
      </c>
      <c r="I73" s="37">
        <v>17523</v>
      </c>
    </row>
    <row r="74" spans="1:9" x14ac:dyDescent="0.25">
      <c r="A74" s="115">
        <f t="shared" si="1"/>
        <v>73</v>
      </c>
      <c r="B74" s="115">
        <v>91186</v>
      </c>
      <c r="C74" s="116" t="s">
        <v>126</v>
      </c>
      <c r="D74" s="116" t="s">
        <v>128</v>
      </c>
      <c r="E74" s="116" t="s">
        <v>233</v>
      </c>
      <c r="F74" s="116" t="s">
        <v>407</v>
      </c>
      <c r="G74" s="118">
        <v>43475</v>
      </c>
      <c r="H74" s="118">
        <v>44326</v>
      </c>
      <c r="I74" s="37">
        <v>13400</v>
      </c>
    </row>
    <row r="75" spans="1:9" x14ac:dyDescent="0.25">
      <c r="A75" s="115">
        <f t="shared" si="1"/>
        <v>74</v>
      </c>
      <c r="B75" s="115">
        <v>69695</v>
      </c>
      <c r="C75" s="116" t="s">
        <v>20</v>
      </c>
      <c r="D75" s="116" t="s">
        <v>24</v>
      </c>
      <c r="E75" s="116" t="s">
        <v>246</v>
      </c>
      <c r="F75" s="116" t="s">
        <v>409</v>
      </c>
      <c r="G75" s="118">
        <v>42379</v>
      </c>
      <c r="H75" s="118">
        <v>44418</v>
      </c>
      <c r="I75" s="37">
        <v>15385</v>
      </c>
    </row>
    <row r="76" spans="1:9" x14ac:dyDescent="0.25">
      <c r="A76" s="115">
        <f t="shared" si="1"/>
        <v>75</v>
      </c>
      <c r="B76" s="115">
        <v>13838</v>
      </c>
      <c r="C76" s="116" t="s">
        <v>104</v>
      </c>
      <c r="D76" s="116" t="s">
        <v>105</v>
      </c>
      <c r="E76" s="116" t="s">
        <v>197</v>
      </c>
      <c r="F76" s="116" t="s">
        <v>411</v>
      </c>
      <c r="G76" s="118">
        <v>43656</v>
      </c>
      <c r="H76" s="118">
        <v>44783</v>
      </c>
      <c r="I76" s="37">
        <v>16423</v>
      </c>
    </row>
    <row r="77" spans="1:9" x14ac:dyDescent="0.25">
      <c r="A77" s="115">
        <f t="shared" si="1"/>
        <v>76</v>
      </c>
      <c r="B77" s="115">
        <v>58137</v>
      </c>
      <c r="C77" s="116" t="s">
        <v>86</v>
      </c>
      <c r="D77" s="116" t="s">
        <v>87</v>
      </c>
      <c r="E77" s="116" t="s">
        <v>187</v>
      </c>
      <c r="F77" s="116" t="s">
        <v>413</v>
      </c>
      <c r="G77" s="118">
        <v>42410</v>
      </c>
      <c r="H77" s="118">
        <v>44206</v>
      </c>
      <c r="I77" s="37">
        <v>12079</v>
      </c>
    </row>
    <row r="78" spans="1:9" x14ac:dyDescent="0.25">
      <c r="A78" s="115">
        <f t="shared" si="1"/>
        <v>77</v>
      </c>
      <c r="B78" s="115">
        <v>10023</v>
      </c>
      <c r="C78" s="116" t="s">
        <v>119</v>
      </c>
      <c r="D78" s="116" t="s">
        <v>120</v>
      </c>
      <c r="E78" s="116" t="s">
        <v>252</v>
      </c>
      <c r="F78" s="116" t="s">
        <v>415</v>
      </c>
      <c r="G78" s="118">
        <v>43779</v>
      </c>
      <c r="H78" s="118">
        <v>44265</v>
      </c>
      <c r="I78" s="37">
        <v>9498</v>
      </c>
    </row>
    <row r="79" spans="1:9" x14ac:dyDescent="0.25">
      <c r="A79" s="115">
        <f t="shared" si="1"/>
        <v>78</v>
      </c>
      <c r="B79" s="115">
        <v>31095</v>
      </c>
      <c r="C79" s="116" t="s">
        <v>99</v>
      </c>
      <c r="D79" s="116" t="s">
        <v>100</v>
      </c>
      <c r="E79" s="116" t="s">
        <v>264</v>
      </c>
      <c r="F79" s="116" t="s">
        <v>417</v>
      </c>
      <c r="G79" s="118">
        <v>43961</v>
      </c>
      <c r="H79" s="118">
        <v>44630</v>
      </c>
      <c r="I79" s="37">
        <v>9840</v>
      </c>
    </row>
    <row r="80" spans="1:9" x14ac:dyDescent="0.25">
      <c r="A80" s="115">
        <f t="shared" si="1"/>
        <v>79</v>
      </c>
      <c r="B80" s="115">
        <v>55479</v>
      </c>
      <c r="C80" s="116" t="s">
        <v>114</v>
      </c>
      <c r="D80" s="116" t="s">
        <v>118</v>
      </c>
      <c r="E80" s="116" t="s">
        <v>264</v>
      </c>
      <c r="F80" s="116" t="s">
        <v>419</v>
      </c>
      <c r="G80" s="118">
        <v>43200</v>
      </c>
      <c r="H80" s="118">
        <v>44387</v>
      </c>
      <c r="I80" s="37">
        <v>18060</v>
      </c>
    </row>
    <row r="81" spans="1:9" x14ac:dyDescent="0.25">
      <c r="A81" s="115">
        <f t="shared" si="1"/>
        <v>80</v>
      </c>
      <c r="B81" s="115">
        <v>30545</v>
      </c>
      <c r="C81" s="116" t="s">
        <v>92</v>
      </c>
      <c r="D81" s="116" t="s">
        <v>95</v>
      </c>
      <c r="E81" s="116" t="s">
        <v>197</v>
      </c>
      <c r="F81" s="116" t="s">
        <v>421</v>
      </c>
      <c r="G81" s="118">
        <v>43748</v>
      </c>
      <c r="H81" s="118">
        <v>44479</v>
      </c>
      <c r="I81" s="37">
        <v>12237</v>
      </c>
    </row>
    <row r="82" spans="1:9" x14ac:dyDescent="0.25">
      <c r="A82" s="115">
        <f t="shared" si="1"/>
        <v>81</v>
      </c>
      <c r="B82" s="115">
        <v>27589</v>
      </c>
      <c r="C82" s="116" t="s">
        <v>126</v>
      </c>
      <c r="D82" s="116" t="s">
        <v>129</v>
      </c>
      <c r="E82" s="116" t="s">
        <v>197</v>
      </c>
      <c r="F82" s="116" t="s">
        <v>422</v>
      </c>
      <c r="G82" s="118">
        <v>42410</v>
      </c>
      <c r="H82" s="118">
        <v>44814</v>
      </c>
      <c r="I82" s="37">
        <v>13675</v>
      </c>
    </row>
    <row r="83" spans="1:9" x14ac:dyDescent="0.25">
      <c r="A83" s="115">
        <f t="shared" si="1"/>
        <v>82</v>
      </c>
      <c r="B83" s="115">
        <v>63438</v>
      </c>
      <c r="C83" s="116" t="s">
        <v>131</v>
      </c>
      <c r="D83" s="116" t="s">
        <v>132</v>
      </c>
      <c r="E83" s="116" t="s">
        <v>235</v>
      </c>
      <c r="F83" s="116" t="s">
        <v>424</v>
      </c>
      <c r="G83" s="118">
        <v>43383</v>
      </c>
      <c r="H83" s="118">
        <v>44814</v>
      </c>
      <c r="I83" s="37">
        <v>12129</v>
      </c>
    </row>
    <row r="84" spans="1:9" x14ac:dyDescent="0.25">
      <c r="A84" s="115">
        <f t="shared" si="1"/>
        <v>83</v>
      </c>
      <c r="B84" s="115">
        <v>51527</v>
      </c>
      <c r="C84" s="116" t="s">
        <v>134</v>
      </c>
      <c r="D84" s="116" t="s">
        <v>138</v>
      </c>
      <c r="E84" s="116" t="s">
        <v>235</v>
      </c>
      <c r="F84" s="116" t="s">
        <v>426</v>
      </c>
      <c r="G84" s="118">
        <v>42776</v>
      </c>
      <c r="H84" s="118">
        <v>44387</v>
      </c>
      <c r="I84" s="37">
        <v>14372</v>
      </c>
    </row>
    <row r="85" spans="1:9" x14ac:dyDescent="0.25">
      <c r="A85" s="115">
        <f t="shared" si="1"/>
        <v>84</v>
      </c>
      <c r="B85" s="115">
        <v>28855</v>
      </c>
      <c r="C85" s="116" t="s">
        <v>88</v>
      </c>
      <c r="D85" s="116" t="s">
        <v>89</v>
      </c>
      <c r="E85" s="116" t="s">
        <v>235</v>
      </c>
      <c r="F85" s="116" t="s">
        <v>428</v>
      </c>
      <c r="G85" s="118">
        <v>43353</v>
      </c>
      <c r="H85" s="118">
        <v>44905</v>
      </c>
      <c r="I85" s="37">
        <v>16731</v>
      </c>
    </row>
    <row r="86" spans="1:9" x14ac:dyDescent="0.25">
      <c r="A86" s="115">
        <f t="shared" si="1"/>
        <v>85</v>
      </c>
      <c r="B86" s="115">
        <v>52487</v>
      </c>
      <c r="C86" s="116" t="s">
        <v>131</v>
      </c>
      <c r="D86" s="116" t="s">
        <v>133</v>
      </c>
      <c r="E86" s="116" t="s">
        <v>235</v>
      </c>
      <c r="F86" s="116" t="s">
        <v>430</v>
      </c>
      <c r="G86" s="118">
        <v>43748</v>
      </c>
      <c r="H86" s="118">
        <v>44479</v>
      </c>
      <c r="I86" s="37">
        <v>15525</v>
      </c>
    </row>
    <row r="87" spans="1:9" x14ac:dyDescent="0.25">
      <c r="A87" s="115">
        <f t="shared" si="1"/>
        <v>86</v>
      </c>
      <c r="B87" s="115">
        <v>83557</v>
      </c>
      <c r="C87" s="116" t="s">
        <v>99</v>
      </c>
      <c r="D87" s="116" t="s">
        <v>101</v>
      </c>
      <c r="E87" s="116" t="s">
        <v>169</v>
      </c>
      <c r="F87" s="116" t="s">
        <v>432</v>
      </c>
      <c r="G87" s="118">
        <v>43322</v>
      </c>
      <c r="H87" s="118">
        <v>44357</v>
      </c>
      <c r="I87" s="37">
        <v>15622</v>
      </c>
    </row>
    <row r="88" spans="1:9" x14ac:dyDescent="0.25">
      <c r="A88" s="115">
        <f t="shared" si="1"/>
        <v>87</v>
      </c>
      <c r="B88" s="115">
        <v>91815</v>
      </c>
      <c r="C88" s="116" t="s">
        <v>20</v>
      </c>
      <c r="D88" s="116" t="s">
        <v>25</v>
      </c>
      <c r="E88" s="116" t="s">
        <v>169</v>
      </c>
      <c r="F88" s="116" t="s">
        <v>434</v>
      </c>
      <c r="G88" s="118">
        <v>42531</v>
      </c>
      <c r="H88" s="118">
        <v>44814</v>
      </c>
      <c r="I88" s="37">
        <v>9725</v>
      </c>
    </row>
    <row r="89" spans="1:9" x14ac:dyDescent="0.25">
      <c r="A89" s="115">
        <f t="shared" si="1"/>
        <v>88</v>
      </c>
      <c r="B89" s="115">
        <v>74874</v>
      </c>
      <c r="C89" s="116" t="s">
        <v>37</v>
      </c>
      <c r="D89" s="116" t="s">
        <v>39</v>
      </c>
      <c r="E89" s="116" t="s">
        <v>229</v>
      </c>
      <c r="F89" s="116" t="s">
        <v>436</v>
      </c>
      <c r="G89" s="118">
        <v>43809</v>
      </c>
      <c r="H89" s="118">
        <v>44237</v>
      </c>
      <c r="I89" s="37">
        <v>14290</v>
      </c>
    </row>
    <row r="90" spans="1:9" x14ac:dyDescent="0.25">
      <c r="A90" s="115">
        <f t="shared" si="1"/>
        <v>89</v>
      </c>
      <c r="B90" s="115">
        <v>28704</v>
      </c>
      <c r="C90" s="116" t="s">
        <v>92</v>
      </c>
      <c r="D90" s="116" t="s">
        <v>96</v>
      </c>
      <c r="E90" s="116" t="s">
        <v>229</v>
      </c>
      <c r="F90" s="116" t="s">
        <v>438</v>
      </c>
      <c r="G90" s="118">
        <v>42531</v>
      </c>
      <c r="H90" s="118">
        <v>44602</v>
      </c>
      <c r="I90" s="37">
        <v>11517</v>
      </c>
    </row>
    <row r="91" spans="1:9" x14ac:dyDescent="0.25">
      <c r="A91" s="115">
        <f t="shared" si="1"/>
        <v>90</v>
      </c>
      <c r="B91" s="115">
        <v>74647</v>
      </c>
      <c r="C91" s="116" t="s">
        <v>88</v>
      </c>
      <c r="D91" s="116" t="s">
        <v>90</v>
      </c>
      <c r="E91" s="116" t="s">
        <v>199</v>
      </c>
      <c r="F91" s="116" t="s">
        <v>440</v>
      </c>
      <c r="G91" s="118">
        <v>42500</v>
      </c>
      <c r="H91" s="118">
        <v>44661</v>
      </c>
      <c r="I91" s="37">
        <v>17409</v>
      </c>
    </row>
    <row r="92" spans="1:9" x14ac:dyDescent="0.25">
      <c r="A92" s="119">
        <f t="shared" si="1"/>
        <v>91</v>
      </c>
      <c r="B92" s="119">
        <v>63789</v>
      </c>
      <c r="C92" s="120" t="s">
        <v>99</v>
      </c>
      <c r="D92" s="120" t="s">
        <v>102</v>
      </c>
      <c r="E92" s="116" t="s">
        <v>199</v>
      </c>
      <c r="F92" s="120" t="s">
        <v>442</v>
      </c>
      <c r="G92" s="121">
        <v>43015</v>
      </c>
      <c r="H92" s="121">
        <v>44470</v>
      </c>
      <c r="I92" s="38">
        <v>13798</v>
      </c>
    </row>
  </sheetData>
  <phoneticPr fontId="38" type="noConversion"/>
  <pageMargins left="0.7" right="0.7" top="0.75" bottom="0.75" header="0.3" footer="0.3"/>
  <pageSetup paperSize="9" fitToHeight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64817-B06B-4A38-89E8-0308B13C0C49}">
  <sheetPr codeName="גיליון5">
    <tabColor theme="8" tint="0.59999389629810485"/>
  </sheetPr>
  <dimension ref="A1:F10"/>
  <sheetViews>
    <sheetView rightToLeft="1" workbookViewId="0">
      <selection activeCell="F24" sqref="F24"/>
    </sheetView>
  </sheetViews>
  <sheetFormatPr defaultColWidth="8.796875" defaultRowHeight="17.399999999999999" x14ac:dyDescent="0.25"/>
  <cols>
    <col min="1" max="1" width="14.69921875" style="16" bestFit="1" customWidth="1"/>
    <col min="2" max="2" width="18.3984375" style="16" bestFit="1" customWidth="1"/>
    <col min="3" max="3" width="14.59765625" style="16" customWidth="1"/>
    <col min="4" max="4" width="11.8984375" style="41" customWidth="1"/>
    <col min="5" max="5" width="12.3984375" style="16" customWidth="1"/>
    <col min="6" max="6" width="55.796875" style="43" bestFit="1" customWidth="1"/>
    <col min="7" max="16384" width="8.796875" style="16"/>
  </cols>
  <sheetData>
    <row r="1" spans="1:6" x14ac:dyDescent="0.25">
      <c r="A1" s="16" t="s">
        <v>457</v>
      </c>
      <c r="B1" s="16" t="s">
        <v>458</v>
      </c>
      <c r="C1" s="16" t="s">
        <v>459</v>
      </c>
      <c r="D1" s="41" t="s">
        <v>460</v>
      </c>
      <c r="E1" s="16" t="s">
        <v>461</v>
      </c>
      <c r="F1" s="16" t="s">
        <v>462</v>
      </c>
    </row>
    <row r="2" spans="1:6" x14ac:dyDescent="0.25">
      <c r="A2" s="42">
        <v>1</v>
      </c>
      <c r="B2" s="42">
        <v>15000</v>
      </c>
      <c r="C2" s="26">
        <v>44376</v>
      </c>
      <c r="D2" s="41">
        <v>0.69791666666666663</v>
      </c>
      <c r="E2" s="16" t="s">
        <v>73</v>
      </c>
      <c r="F2" s="43" t="s">
        <v>463</v>
      </c>
    </row>
    <row r="3" spans="1:6" x14ac:dyDescent="0.25">
      <c r="A3" s="42">
        <v>2</v>
      </c>
      <c r="B3" s="42">
        <v>15001</v>
      </c>
      <c r="C3" s="26">
        <v>44343</v>
      </c>
      <c r="D3" s="41">
        <v>0.73958333333333304</v>
      </c>
      <c r="E3" s="16" t="s">
        <v>464</v>
      </c>
      <c r="F3" s="43" t="s">
        <v>465</v>
      </c>
    </row>
    <row r="4" spans="1:6" x14ac:dyDescent="0.25">
      <c r="A4" s="42">
        <v>3</v>
      </c>
      <c r="B4" s="42">
        <v>15002</v>
      </c>
      <c r="C4" s="26">
        <v>44372</v>
      </c>
      <c r="D4" s="41">
        <v>0.78125</v>
      </c>
      <c r="E4" s="16" t="s">
        <v>97</v>
      </c>
      <c r="F4" s="43" t="s">
        <v>466</v>
      </c>
    </row>
    <row r="5" spans="1:6" x14ac:dyDescent="0.25">
      <c r="A5" s="42">
        <v>4</v>
      </c>
      <c r="B5" s="42">
        <v>15003</v>
      </c>
      <c r="C5" s="26">
        <v>44349</v>
      </c>
      <c r="D5" s="41">
        <v>0.29166666666666669</v>
      </c>
      <c r="E5" s="16" t="s">
        <v>42</v>
      </c>
      <c r="F5" s="43" t="s">
        <v>467</v>
      </c>
    </row>
    <row r="6" spans="1:6" x14ac:dyDescent="0.25">
      <c r="A6" s="42">
        <v>5</v>
      </c>
      <c r="B6" s="42">
        <v>15004</v>
      </c>
      <c r="C6" s="26">
        <v>44382</v>
      </c>
      <c r="D6" s="41">
        <v>0.75</v>
      </c>
      <c r="E6" s="16" t="s">
        <v>62</v>
      </c>
      <c r="F6" s="43" t="s">
        <v>468</v>
      </c>
    </row>
    <row r="7" spans="1:6" x14ac:dyDescent="0.25">
      <c r="A7" s="42">
        <v>6</v>
      </c>
      <c r="B7" s="42">
        <v>15005</v>
      </c>
      <c r="C7" s="26">
        <v>44357</v>
      </c>
      <c r="D7" s="41">
        <v>0.83333333333333337</v>
      </c>
      <c r="E7" s="16" t="s">
        <v>469</v>
      </c>
      <c r="F7" s="43" t="s">
        <v>470</v>
      </c>
    </row>
    <row r="8" spans="1:6" x14ac:dyDescent="0.25">
      <c r="A8" s="42">
        <v>7</v>
      </c>
      <c r="B8" s="42">
        <v>15006</v>
      </c>
      <c r="C8" s="26">
        <v>44348</v>
      </c>
      <c r="D8" s="41">
        <v>0.33333333333333298</v>
      </c>
      <c r="E8" s="16" t="s">
        <v>464</v>
      </c>
      <c r="F8" s="43" t="s">
        <v>471</v>
      </c>
    </row>
    <row r="9" spans="1:6" x14ac:dyDescent="0.25">
      <c r="A9" s="16">
        <v>8</v>
      </c>
      <c r="B9" s="42">
        <v>15007</v>
      </c>
      <c r="C9" s="26">
        <v>44386</v>
      </c>
      <c r="D9" s="41">
        <v>0.41666666666666669</v>
      </c>
      <c r="E9" s="16" t="s">
        <v>44</v>
      </c>
      <c r="F9" s="43" t="s">
        <v>472</v>
      </c>
    </row>
    <row r="10" spans="1:6" x14ac:dyDescent="0.25">
      <c r="A10" s="16">
        <v>9</v>
      </c>
      <c r="B10" s="42">
        <v>15008</v>
      </c>
      <c r="C10" s="26">
        <v>44355</v>
      </c>
      <c r="D10" s="41">
        <v>0.45833333333333331</v>
      </c>
      <c r="E10" s="16" t="s">
        <v>464</v>
      </c>
      <c r="F10" s="43" t="s">
        <v>473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95F66-E5A1-4AC7-8B61-E227F7FDDD9D}">
  <sheetPr codeName="גיליון6">
    <tabColor theme="8" tint="0.59999389629810485"/>
  </sheetPr>
  <dimension ref="A1:P92"/>
  <sheetViews>
    <sheetView rightToLeft="1" topLeftCell="A2" workbookViewId="0">
      <selection activeCell="D9" sqref="D9"/>
    </sheetView>
  </sheetViews>
  <sheetFormatPr defaultColWidth="8.8984375" defaultRowHeight="17.399999999999999" x14ac:dyDescent="0.3"/>
  <cols>
    <col min="1" max="1" width="26.09765625" style="128" bestFit="1" customWidth="1"/>
    <col min="2" max="2" width="23.19921875" style="128" bestFit="1" customWidth="1"/>
    <col min="3" max="3" width="13.59765625" style="128" customWidth="1"/>
    <col min="4" max="4" width="20" style="128" customWidth="1"/>
    <col min="5" max="5" width="27.19921875" style="128" customWidth="1"/>
    <col min="6" max="6" width="16.69921875" style="128" customWidth="1"/>
    <col min="7" max="7" width="15.19921875" style="128" bestFit="1" customWidth="1"/>
    <col min="8" max="8" width="18" style="128" customWidth="1"/>
    <col min="9" max="9" width="17.59765625" style="128" bestFit="1" customWidth="1"/>
    <col min="10" max="10" width="10.796875" style="128" customWidth="1"/>
    <col min="11" max="11" width="8.8984375" style="128"/>
    <col min="12" max="13" width="9.296875" style="128" customWidth="1"/>
    <col min="14" max="14" width="9.19921875" style="128" customWidth="1"/>
    <col min="15" max="16" width="9.3984375" style="128" customWidth="1"/>
    <col min="17" max="16384" width="8.8984375" style="128"/>
  </cols>
  <sheetData>
    <row r="1" spans="1:16" x14ac:dyDescent="0.3">
      <c r="A1" s="113" t="s">
        <v>447</v>
      </c>
      <c r="B1" s="124" t="s">
        <v>448</v>
      </c>
      <c r="C1" s="125" t="s">
        <v>5</v>
      </c>
      <c r="D1" s="125" t="s">
        <v>6</v>
      </c>
      <c r="E1" s="126" t="s">
        <v>499</v>
      </c>
      <c r="F1" s="125" t="s">
        <v>150</v>
      </c>
      <c r="G1" s="127" t="s">
        <v>500</v>
      </c>
      <c r="H1" s="125" t="s">
        <v>446</v>
      </c>
      <c r="I1" s="126" t="s">
        <v>449</v>
      </c>
    </row>
    <row r="2" spans="1:16" x14ac:dyDescent="0.3">
      <c r="A2" s="118">
        <v>43900</v>
      </c>
      <c r="B2" s="129">
        <v>45117</v>
      </c>
      <c r="C2" s="116" t="s">
        <v>111</v>
      </c>
      <c r="D2" s="116" t="s">
        <v>112</v>
      </c>
      <c r="E2" s="130">
        <v>-1355</v>
      </c>
      <c r="F2" s="116" t="s">
        <v>219</v>
      </c>
      <c r="G2" s="130">
        <v>-206</v>
      </c>
      <c r="H2" s="117" t="s">
        <v>450</v>
      </c>
      <c r="I2" s="131">
        <v>10060</v>
      </c>
    </row>
    <row r="3" spans="1:16" x14ac:dyDescent="0.3">
      <c r="A3" s="118">
        <v>43018</v>
      </c>
      <c r="B3" s="129">
        <v>44844</v>
      </c>
      <c r="C3" s="116" t="s">
        <v>49</v>
      </c>
      <c r="D3" s="116" t="s">
        <v>50</v>
      </c>
      <c r="E3" s="130">
        <v>-720</v>
      </c>
      <c r="F3" s="116" t="s">
        <v>227</v>
      </c>
      <c r="G3" s="130">
        <v>-318</v>
      </c>
      <c r="H3" s="117" t="s">
        <v>267</v>
      </c>
      <c r="I3" s="131">
        <v>11526</v>
      </c>
      <c r="P3" s="132" t="s">
        <v>501</v>
      </c>
    </row>
    <row r="4" spans="1:16" x14ac:dyDescent="0.3">
      <c r="A4" s="118">
        <v>44084</v>
      </c>
      <c r="B4" s="129">
        <v>44814</v>
      </c>
      <c r="C4" s="116" t="s">
        <v>58</v>
      </c>
      <c r="D4" s="116" t="s">
        <v>59</v>
      </c>
      <c r="E4" s="130">
        <v>-554</v>
      </c>
      <c r="F4" s="116" t="s">
        <v>254</v>
      </c>
      <c r="G4" s="130">
        <v>-240</v>
      </c>
      <c r="H4" s="117" t="s">
        <v>269</v>
      </c>
      <c r="I4" s="131">
        <v>16945</v>
      </c>
    </row>
    <row r="5" spans="1:16" x14ac:dyDescent="0.3">
      <c r="A5" s="118">
        <v>43383</v>
      </c>
      <c r="B5" s="129">
        <v>45209</v>
      </c>
      <c r="C5" s="116" t="s">
        <v>32</v>
      </c>
      <c r="D5" s="116" t="s">
        <v>33</v>
      </c>
      <c r="E5" s="130">
        <v>-700</v>
      </c>
      <c r="F5" s="116" t="s">
        <v>219</v>
      </c>
      <c r="G5" s="130">
        <v>-206</v>
      </c>
      <c r="H5" s="117" t="s">
        <v>453</v>
      </c>
      <c r="I5" s="131">
        <v>16546</v>
      </c>
    </row>
    <row r="6" spans="1:16" x14ac:dyDescent="0.3">
      <c r="A6" s="118">
        <v>44114</v>
      </c>
      <c r="B6" s="129">
        <v>44783</v>
      </c>
      <c r="C6" s="116" t="s">
        <v>32</v>
      </c>
      <c r="D6" s="116" t="s">
        <v>34</v>
      </c>
      <c r="E6" s="130">
        <v>-758</v>
      </c>
      <c r="F6" s="116" t="s">
        <v>177</v>
      </c>
      <c r="G6" s="130">
        <v>-240</v>
      </c>
      <c r="H6" s="117" t="s">
        <v>271</v>
      </c>
      <c r="I6" s="131">
        <v>13106</v>
      </c>
    </row>
    <row r="7" spans="1:16" x14ac:dyDescent="0.3">
      <c r="A7" s="118">
        <v>42896</v>
      </c>
      <c r="B7" s="129">
        <v>44387</v>
      </c>
      <c r="C7" s="116" t="s">
        <v>32</v>
      </c>
      <c r="D7" s="116" t="s">
        <v>35</v>
      </c>
      <c r="E7" s="130">
        <v>-1367</v>
      </c>
      <c r="F7" s="116" t="s">
        <v>215</v>
      </c>
      <c r="G7" s="130">
        <v>-359</v>
      </c>
      <c r="H7" s="117" t="s">
        <v>273</v>
      </c>
      <c r="I7" s="131">
        <v>15002</v>
      </c>
    </row>
    <row r="8" spans="1:16" x14ac:dyDescent="0.3">
      <c r="A8" s="118">
        <v>43169</v>
      </c>
      <c r="B8" s="129">
        <v>44418</v>
      </c>
      <c r="C8" s="116" t="s">
        <v>73</v>
      </c>
      <c r="D8" s="116" t="s">
        <v>74</v>
      </c>
      <c r="E8" s="130">
        <v>-922</v>
      </c>
      <c r="F8" s="116" t="s">
        <v>240</v>
      </c>
      <c r="G8" s="130">
        <v>-377</v>
      </c>
      <c r="H8" s="117" t="s">
        <v>275</v>
      </c>
      <c r="I8" s="131">
        <v>11991</v>
      </c>
    </row>
    <row r="9" spans="1:16" x14ac:dyDescent="0.3">
      <c r="A9" s="118">
        <v>42745</v>
      </c>
      <c r="B9" s="129">
        <v>44602</v>
      </c>
      <c r="C9" s="116" t="s">
        <v>73</v>
      </c>
      <c r="D9" s="116" t="s">
        <v>75</v>
      </c>
      <c r="E9" s="130">
        <v>-695</v>
      </c>
      <c r="F9" s="116" t="s">
        <v>215</v>
      </c>
      <c r="G9" s="130">
        <v>-359</v>
      </c>
      <c r="H9" s="117" t="s">
        <v>277</v>
      </c>
      <c r="I9" s="131">
        <v>18898</v>
      </c>
    </row>
    <row r="10" spans="1:16" x14ac:dyDescent="0.3">
      <c r="A10" s="118">
        <v>43475</v>
      </c>
      <c r="B10" s="129">
        <v>45148</v>
      </c>
      <c r="C10" s="116" t="s">
        <v>73</v>
      </c>
      <c r="D10" s="116" t="s">
        <v>76</v>
      </c>
      <c r="E10" s="130">
        <v>-563</v>
      </c>
      <c r="F10" s="116" t="s">
        <v>240</v>
      </c>
      <c r="G10" s="130">
        <v>-377</v>
      </c>
      <c r="H10" s="117" t="s">
        <v>279</v>
      </c>
      <c r="I10" s="131">
        <v>15160</v>
      </c>
    </row>
    <row r="11" spans="1:16" x14ac:dyDescent="0.3">
      <c r="A11" s="118">
        <v>42439</v>
      </c>
      <c r="B11" s="129">
        <v>44722</v>
      </c>
      <c r="C11" s="116" t="s">
        <v>73</v>
      </c>
      <c r="D11" s="116" t="s">
        <v>77</v>
      </c>
      <c r="E11" s="130">
        <v>-665</v>
      </c>
      <c r="F11" s="116" t="s">
        <v>240</v>
      </c>
      <c r="G11" s="130">
        <v>-377</v>
      </c>
      <c r="H11" s="117" t="s">
        <v>281</v>
      </c>
      <c r="I11" s="131">
        <v>15346</v>
      </c>
    </row>
    <row r="12" spans="1:16" x14ac:dyDescent="0.3">
      <c r="A12" s="118">
        <v>43687</v>
      </c>
      <c r="B12" s="129">
        <v>45117</v>
      </c>
      <c r="C12" s="116" t="s">
        <v>73</v>
      </c>
      <c r="D12" s="116" t="s">
        <v>78</v>
      </c>
      <c r="E12" s="130">
        <v>-507</v>
      </c>
      <c r="F12" s="116" t="s">
        <v>225</v>
      </c>
      <c r="G12" s="130">
        <v>-348</v>
      </c>
      <c r="H12" s="117" t="s">
        <v>283</v>
      </c>
      <c r="I12" s="131">
        <v>10934</v>
      </c>
    </row>
    <row r="13" spans="1:16" x14ac:dyDescent="0.3">
      <c r="A13" s="118">
        <v>43049</v>
      </c>
      <c r="B13" s="129">
        <v>44691</v>
      </c>
      <c r="C13" s="116" t="s">
        <v>140</v>
      </c>
      <c r="D13" s="116" t="s">
        <v>141</v>
      </c>
      <c r="E13" s="130">
        <v>-561</v>
      </c>
      <c r="F13" s="116" t="s">
        <v>260</v>
      </c>
      <c r="G13" s="130">
        <v>-356</v>
      </c>
      <c r="H13" s="117" t="s">
        <v>285</v>
      </c>
      <c r="I13" s="131">
        <v>17232</v>
      </c>
    </row>
    <row r="14" spans="1:16" x14ac:dyDescent="0.3">
      <c r="A14" s="118">
        <v>42865</v>
      </c>
      <c r="B14" s="129">
        <v>45270</v>
      </c>
      <c r="C14" s="116" t="s">
        <v>81</v>
      </c>
      <c r="D14" s="116" t="s">
        <v>82</v>
      </c>
      <c r="E14" s="130">
        <v>-1575</v>
      </c>
      <c r="F14" s="116" t="s">
        <v>237</v>
      </c>
      <c r="G14" s="130">
        <v>-378</v>
      </c>
      <c r="H14" s="117" t="s">
        <v>287</v>
      </c>
      <c r="I14" s="131">
        <v>13041</v>
      </c>
    </row>
    <row r="15" spans="1:16" x14ac:dyDescent="0.3">
      <c r="A15" s="118">
        <v>43230</v>
      </c>
      <c r="B15" s="129">
        <v>44967</v>
      </c>
      <c r="C15" s="116" t="s">
        <v>97</v>
      </c>
      <c r="D15" s="116" t="s">
        <v>98</v>
      </c>
      <c r="E15" s="130">
        <v>-657</v>
      </c>
      <c r="F15" s="116" t="s">
        <v>179</v>
      </c>
      <c r="G15" s="130">
        <v>-441</v>
      </c>
      <c r="H15" s="117" t="s">
        <v>289</v>
      </c>
      <c r="I15" s="131">
        <v>12810</v>
      </c>
    </row>
    <row r="16" spans="1:16" x14ac:dyDescent="0.3">
      <c r="A16" s="118">
        <v>44053</v>
      </c>
      <c r="B16" s="129">
        <v>45087</v>
      </c>
      <c r="C16" s="116" t="s">
        <v>62</v>
      </c>
      <c r="D16" s="116" t="s">
        <v>63</v>
      </c>
      <c r="E16" s="130">
        <v>-1098</v>
      </c>
      <c r="F16" s="116" t="s">
        <v>179</v>
      </c>
      <c r="G16" s="130">
        <v>-441</v>
      </c>
      <c r="H16" s="117" t="s">
        <v>291</v>
      </c>
      <c r="I16" s="131">
        <v>19095</v>
      </c>
    </row>
    <row r="17" spans="1:9" x14ac:dyDescent="0.3">
      <c r="A17" s="118">
        <v>43291</v>
      </c>
      <c r="B17" s="129">
        <v>44571</v>
      </c>
      <c r="C17" s="116" t="s">
        <v>17</v>
      </c>
      <c r="D17" s="116" t="s">
        <v>18</v>
      </c>
      <c r="E17" s="130">
        <v>-587</v>
      </c>
      <c r="F17" s="116" t="s">
        <v>164</v>
      </c>
      <c r="G17" s="130">
        <v>-477</v>
      </c>
      <c r="H17" s="117" t="s">
        <v>293</v>
      </c>
      <c r="I17" s="131">
        <v>10273</v>
      </c>
    </row>
    <row r="18" spans="1:9" x14ac:dyDescent="0.3">
      <c r="A18" s="118">
        <v>43931</v>
      </c>
      <c r="B18" s="129">
        <v>44752</v>
      </c>
      <c r="C18" s="116" t="s">
        <v>29</v>
      </c>
      <c r="D18" s="116" t="s">
        <v>30</v>
      </c>
      <c r="E18" s="130">
        <v>-1704</v>
      </c>
      <c r="F18" s="116" t="s">
        <v>164</v>
      </c>
      <c r="G18" s="130">
        <v>-477</v>
      </c>
      <c r="H18" s="117" t="s">
        <v>295</v>
      </c>
      <c r="I18" s="131">
        <v>15088</v>
      </c>
    </row>
    <row r="19" spans="1:9" x14ac:dyDescent="0.3">
      <c r="A19" s="118">
        <v>43687</v>
      </c>
      <c r="B19" s="129">
        <v>44691</v>
      </c>
      <c r="C19" s="116" t="s">
        <v>29</v>
      </c>
      <c r="D19" s="116" t="s">
        <v>31</v>
      </c>
      <c r="E19" s="130">
        <v>-1370</v>
      </c>
      <c r="F19" s="116" t="s">
        <v>164</v>
      </c>
      <c r="G19" s="130">
        <v>-477</v>
      </c>
      <c r="H19" s="117" t="s">
        <v>297</v>
      </c>
      <c r="I19" s="131">
        <v>16021</v>
      </c>
    </row>
    <row r="20" spans="1:9" x14ac:dyDescent="0.3">
      <c r="A20" s="118">
        <v>44145</v>
      </c>
      <c r="B20" s="129">
        <v>44540</v>
      </c>
      <c r="C20" s="116" t="s">
        <v>108</v>
      </c>
      <c r="D20" s="116" t="s">
        <v>109</v>
      </c>
      <c r="E20" s="130">
        <v>-604</v>
      </c>
      <c r="F20" s="116" t="s">
        <v>223</v>
      </c>
      <c r="G20" s="130">
        <v>-290</v>
      </c>
      <c r="H20" s="117" t="s">
        <v>299</v>
      </c>
      <c r="I20" s="131">
        <v>17520</v>
      </c>
    </row>
    <row r="21" spans="1:9" x14ac:dyDescent="0.3">
      <c r="A21" s="118">
        <v>43141</v>
      </c>
      <c r="B21" s="129">
        <v>44783</v>
      </c>
      <c r="C21" s="116" t="s">
        <v>108</v>
      </c>
      <c r="D21" s="116" t="s">
        <v>110</v>
      </c>
      <c r="E21" s="130">
        <v>-1016</v>
      </c>
      <c r="F21" s="116" t="s">
        <v>258</v>
      </c>
      <c r="G21" s="130">
        <v>-454</v>
      </c>
      <c r="H21" s="117" t="s">
        <v>302</v>
      </c>
      <c r="I21" s="131">
        <v>9308</v>
      </c>
    </row>
    <row r="22" spans="1:9" x14ac:dyDescent="0.3">
      <c r="A22" s="118">
        <v>42745</v>
      </c>
      <c r="B22" s="129">
        <v>44905</v>
      </c>
      <c r="C22" s="116" t="s">
        <v>140</v>
      </c>
      <c r="D22" s="116" t="s">
        <v>142</v>
      </c>
      <c r="E22" s="130">
        <v>-590</v>
      </c>
      <c r="F22" s="116" t="s">
        <v>205</v>
      </c>
      <c r="G22" s="130">
        <v>-211</v>
      </c>
      <c r="H22" s="117" t="s">
        <v>304</v>
      </c>
      <c r="I22" s="131">
        <v>13371</v>
      </c>
    </row>
    <row r="23" spans="1:9" x14ac:dyDescent="0.3">
      <c r="A23" s="118">
        <v>43383</v>
      </c>
      <c r="B23" s="129">
        <v>44479</v>
      </c>
      <c r="C23" s="116" t="s">
        <v>42</v>
      </c>
      <c r="D23" s="116" t="s">
        <v>43</v>
      </c>
      <c r="E23" s="130">
        <v>-508</v>
      </c>
      <c r="F23" s="116" t="s">
        <v>185</v>
      </c>
      <c r="G23" s="130">
        <v>-284</v>
      </c>
      <c r="H23" s="117" t="s">
        <v>306</v>
      </c>
      <c r="I23" s="131">
        <v>14989</v>
      </c>
    </row>
    <row r="24" spans="1:9" x14ac:dyDescent="0.3">
      <c r="A24" s="118">
        <v>43141</v>
      </c>
      <c r="B24" s="129">
        <v>45056</v>
      </c>
      <c r="C24" s="116" t="s">
        <v>124</v>
      </c>
      <c r="D24" s="116" t="s">
        <v>125</v>
      </c>
      <c r="E24" s="130">
        <v>-1182</v>
      </c>
      <c r="F24" s="116" t="s">
        <v>203</v>
      </c>
      <c r="G24" s="130">
        <v>-308</v>
      </c>
      <c r="H24" s="117" t="s">
        <v>308</v>
      </c>
      <c r="I24" s="131">
        <v>13042</v>
      </c>
    </row>
    <row r="25" spans="1:9" x14ac:dyDescent="0.3">
      <c r="A25" s="118">
        <v>43230</v>
      </c>
      <c r="B25" s="129">
        <v>44661</v>
      </c>
      <c r="C25" s="116" t="s">
        <v>122</v>
      </c>
      <c r="D25" s="116" t="s">
        <v>123</v>
      </c>
      <c r="E25" s="130">
        <v>-794</v>
      </c>
      <c r="F25" s="116" t="s">
        <v>203</v>
      </c>
      <c r="G25" s="130">
        <v>-308</v>
      </c>
      <c r="H25" s="117" t="s">
        <v>310</v>
      </c>
      <c r="I25" s="131">
        <v>16655</v>
      </c>
    </row>
    <row r="26" spans="1:9" x14ac:dyDescent="0.3">
      <c r="A26" s="118">
        <v>42561</v>
      </c>
      <c r="B26" s="129">
        <v>44265</v>
      </c>
      <c r="C26" s="116" t="s">
        <v>62</v>
      </c>
      <c r="D26" s="116" t="s">
        <v>64</v>
      </c>
      <c r="E26" s="130">
        <v>-1339</v>
      </c>
      <c r="F26" s="116" t="s">
        <v>209</v>
      </c>
      <c r="G26" s="130">
        <v>-390</v>
      </c>
      <c r="H26" s="117" t="s">
        <v>312</v>
      </c>
      <c r="I26" s="131">
        <v>10972</v>
      </c>
    </row>
    <row r="27" spans="1:9" x14ac:dyDescent="0.3">
      <c r="A27" s="118">
        <v>43931</v>
      </c>
      <c r="B27" s="129">
        <v>44237</v>
      </c>
      <c r="C27" s="116" t="s">
        <v>62</v>
      </c>
      <c r="D27" s="116" t="s">
        <v>65</v>
      </c>
      <c r="E27" s="130">
        <v>-1407</v>
      </c>
      <c r="F27" s="116" t="s">
        <v>160</v>
      </c>
      <c r="G27" s="130">
        <v>-246</v>
      </c>
      <c r="H27" s="117" t="s">
        <v>314</v>
      </c>
      <c r="I27" s="131">
        <v>19191</v>
      </c>
    </row>
    <row r="28" spans="1:9" x14ac:dyDescent="0.3">
      <c r="A28" s="118">
        <v>43748</v>
      </c>
      <c r="B28" s="129">
        <v>44936</v>
      </c>
      <c r="C28" s="116" t="s">
        <v>62</v>
      </c>
      <c r="D28" s="116" t="s">
        <v>66</v>
      </c>
      <c r="E28" s="130">
        <v>-1637</v>
      </c>
      <c r="F28" s="116" t="s">
        <v>160</v>
      </c>
      <c r="G28" s="130">
        <v>-246</v>
      </c>
      <c r="H28" s="117" t="s">
        <v>316</v>
      </c>
      <c r="I28" s="131">
        <v>9733</v>
      </c>
    </row>
    <row r="29" spans="1:9" x14ac:dyDescent="0.3">
      <c r="A29" s="118">
        <v>42561</v>
      </c>
      <c r="B29" s="129">
        <v>44814</v>
      </c>
      <c r="C29" s="116" t="s">
        <v>62</v>
      </c>
      <c r="D29" s="116" t="s">
        <v>67</v>
      </c>
      <c r="E29" s="130">
        <v>-558</v>
      </c>
      <c r="F29" s="116" t="s">
        <v>213</v>
      </c>
      <c r="G29" s="130">
        <v>-236</v>
      </c>
      <c r="H29" s="117" t="s">
        <v>318</v>
      </c>
      <c r="I29" s="131">
        <v>11128</v>
      </c>
    </row>
    <row r="30" spans="1:9" x14ac:dyDescent="0.3">
      <c r="A30" s="118">
        <v>42988</v>
      </c>
      <c r="B30" s="129">
        <v>45117</v>
      </c>
      <c r="C30" s="116" t="s">
        <v>62</v>
      </c>
      <c r="D30" s="116" t="s">
        <v>68</v>
      </c>
      <c r="E30" s="130">
        <v>-1190</v>
      </c>
      <c r="F30" s="116" t="s">
        <v>160</v>
      </c>
      <c r="G30" s="130">
        <v>-246</v>
      </c>
      <c r="H30" s="117" t="s">
        <v>320</v>
      </c>
      <c r="I30" s="131">
        <v>19793</v>
      </c>
    </row>
    <row r="31" spans="1:9" x14ac:dyDescent="0.3">
      <c r="A31" s="118">
        <v>43383</v>
      </c>
      <c r="B31" s="129">
        <v>45026</v>
      </c>
      <c r="C31" s="116" t="s">
        <v>62</v>
      </c>
      <c r="D31" s="116" t="s">
        <v>69</v>
      </c>
      <c r="E31" s="130">
        <v>-619</v>
      </c>
      <c r="F31" s="116" t="s">
        <v>213</v>
      </c>
      <c r="G31" s="130">
        <v>-236</v>
      </c>
      <c r="H31" s="117" t="s">
        <v>322</v>
      </c>
      <c r="I31" s="131">
        <v>10224</v>
      </c>
    </row>
    <row r="32" spans="1:9" x14ac:dyDescent="0.3">
      <c r="A32" s="118">
        <v>42561</v>
      </c>
      <c r="B32" s="129">
        <v>44387</v>
      </c>
      <c r="C32" s="116" t="s">
        <v>62</v>
      </c>
      <c r="D32" s="116" t="s">
        <v>70</v>
      </c>
      <c r="E32" s="130">
        <v>-1432</v>
      </c>
      <c r="F32" s="116" t="s">
        <v>160</v>
      </c>
      <c r="G32" s="130">
        <v>-246</v>
      </c>
      <c r="H32" s="117" t="s">
        <v>323</v>
      </c>
      <c r="I32" s="131">
        <v>19073</v>
      </c>
    </row>
    <row r="33" spans="1:9" x14ac:dyDescent="0.3">
      <c r="A33" s="118">
        <v>43900</v>
      </c>
      <c r="B33" s="129">
        <v>44449</v>
      </c>
      <c r="C33" s="116" t="s">
        <v>62</v>
      </c>
      <c r="D33" s="116" t="s">
        <v>71</v>
      </c>
      <c r="E33" s="130">
        <v>-1097</v>
      </c>
      <c r="F33" s="116" t="s">
        <v>213</v>
      </c>
      <c r="G33" s="130">
        <v>-236</v>
      </c>
      <c r="H33" s="117" t="s">
        <v>325</v>
      </c>
      <c r="I33" s="131">
        <v>12749</v>
      </c>
    </row>
    <row r="34" spans="1:9" x14ac:dyDescent="0.3">
      <c r="A34" s="118">
        <v>44114</v>
      </c>
      <c r="B34" s="129">
        <v>44967</v>
      </c>
      <c r="C34" s="116" t="s">
        <v>62</v>
      </c>
      <c r="D34" s="116" t="s">
        <v>72</v>
      </c>
      <c r="E34" s="130">
        <v>-1755</v>
      </c>
      <c r="F34" s="116" t="s">
        <v>213</v>
      </c>
      <c r="G34" s="130">
        <v>-236</v>
      </c>
      <c r="H34" s="117" t="s">
        <v>327</v>
      </c>
      <c r="I34" s="131">
        <v>12185</v>
      </c>
    </row>
    <row r="35" spans="1:9" x14ac:dyDescent="0.3">
      <c r="A35" s="118">
        <v>43748</v>
      </c>
      <c r="B35" s="129">
        <v>44479</v>
      </c>
      <c r="C35" s="116" t="s">
        <v>147</v>
      </c>
      <c r="D35" s="116" t="s">
        <v>148</v>
      </c>
      <c r="E35" s="130">
        <v>-1355</v>
      </c>
      <c r="F35" s="116" t="s">
        <v>162</v>
      </c>
      <c r="G35" s="130">
        <v>-219</v>
      </c>
      <c r="H35" s="117" t="s">
        <v>329</v>
      </c>
      <c r="I35" s="131">
        <v>12511</v>
      </c>
    </row>
    <row r="36" spans="1:9" x14ac:dyDescent="0.3">
      <c r="A36" s="118">
        <v>43049</v>
      </c>
      <c r="B36" s="129">
        <v>44661</v>
      </c>
      <c r="C36" s="116" t="s">
        <v>147</v>
      </c>
      <c r="D36" s="116" t="s">
        <v>149</v>
      </c>
      <c r="E36" s="130">
        <v>-1452</v>
      </c>
      <c r="F36" s="116" t="s">
        <v>211</v>
      </c>
      <c r="G36" s="130">
        <v>-348</v>
      </c>
      <c r="H36" s="117" t="s">
        <v>331</v>
      </c>
      <c r="I36" s="131">
        <v>18716</v>
      </c>
    </row>
    <row r="37" spans="1:9" x14ac:dyDescent="0.3">
      <c r="A37" s="118">
        <v>42684</v>
      </c>
      <c r="B37" s="129">
        <v>44571</v>
      </c>
      <c r="C37" s="116" t="s">
        <v>111</v>
      </c>
      <c r="D37" s="116" t="s">
        <v>113</v>
      </c>
      <c r="E37" s="130">
        <v>-1753</v>
      </c>
      <c r="F37" s="116" t="s">
        <v>175</v>
      </c>
      <c r="G37" s="130">
        <v>-301</v>
      </c>
      <c r="H37" s="117" t="s">
        <v>333</v>
      </c>
      <c r="I37" s="131">
        <v>12513</v>
      </c>
    </row>
    <row r="38" spans="1:9" x14ac:dyDescent="0.3">
      <c r="A38" s="118">
        <v>43322</v>
      </c>
      <c r="B38" s="129">
        <v>44357</v>
      </c>
      <c r="C38" s="116" t="s">
        <v>44</v>
      </c>
      <c r="D38" s="116" t="s">
        <v>45</v>
      </c>
      <c r="E38" s="130">
        <v>-1517</v>
      </c>
      <c r="F38" s="116" t="s">
        <v>175</v>
      </c>
      <c r="G38" s="130">
        <v>-301</v>
      </c>
      <c r="H38" s="117" t="s">
        <v>335</v>
      </c>
      <c r="I38" s="131">
        <v>16747</v>
      </c>
    </row>
    <row r="39" spans="1:9" x14ac:dyDescent="0.3">
      <c r="A39" s="118">
        <v>42714</v>
      </c>
      <c r="B39" s="129">
        <v>44630</v>
      </c>
      <c r="C39" s="116" t="s">
        <v>44</v>
      </c>
      <c r="D39" s="116" t="s">
        <v>46</v>
      </c>
      <c r="E39" s="130">
        <v>-1123</v>
      </c>
      <c r="F39" s="116" t="s">
        <v>189</v>
      </c>
      <c r="G39" s="130">
        <v>-231</v>
      </c>
      <c r="H39" s="117" t="s">
        <v>337</v>
      </c>
      <c r="I39" s="131">
        <v>14816</v>
      </c>
    </row>
    <row r="40" spans="1:9" x14ac:dyDescent="0.3">
      <c r="A40" s="118">
        <v>43595</v>
      </c>
      <c r="B40" s="129">
        <v>45392</v>
      </c>
      <c r="C40" s="116" t="s">
        <v>73</v>
      </c>
      <c r="D40" s="116" t="s">
        <v>79</v>
      </c>
      <c r="E40" s="130">
        <v>-1237</v>
      </c>
      <c r="F40" s="116" t="s">
        <v>191</v>
      </c>
      <c r="G40" s="130">
        <v>-245</v>
      </c>
      <c r="H40" s="117" t="s">
        <v>339</v>
      </c>
      <c r="I40" s="131">
        <v>9637</v>
      </c>
    </row>
    <row r="41" spans="1:9" x14ac:dyDescent="0.3">
      <c r="A41" s="118">
        <v>43900</v>
      </c>
      <c r="B41" s="129">
        <v>45483</v>
      </c>
      <c r="C41" s="116" t="s">
        <v>40</v>
      </c>
      <c r="D41" s="116" t="s">
        <v>41</v>
      </c>
      <c r="E41" s="130">
        <v>-669</v>
      </c>
      <c r="F41" s="116" t="s">
        <v>193</v>
      </c>
      <c r="G41" s="130">
        <v>-331</v>
      </c>
      <c r="H41" s="117" t="s">
        <v>341</v>
      </c>
      <c r="I41" s="131">
        <v>16942</v>
      </c>
    </row>
    <row r="42" spans="1:9" x14ac:dyDescent="0.3">
      <c r="A42" s="118">
        <v>43018</v>
      </c>
      <c r="B42" s="129">
        <v>44387</v>
      </c>
      <c r="C42" s="116" t="s">
        <v>106</v>
      </c>
      <c r="D42" s="116" t="s">
        <v>107</v>
      </c>
      <c r="E42" s="130">
        <v>-1362</v>
      </c>
      <c r="F42" s="116" t="s">
        <v>195</v>
      </c>
      <c r="G42" s="130">
        <v>-422</v>
      </c>
      <c r="H42" s="117" t="s">
        <v>343</v>
      </c>
      <c r="I42" s="131">
        <v>18302</v>
      </c>
    </row>
    <row r="43" spans="1:9" x14ac:dyDescent="0.3">
      <c r="A43" s="118">
        <v>42623</v>
      </c>
      <c r="B43" s="129">
        <v>44602</v>
      </c>
      <c r="C43" s="116" t="s">
        <v>47</v>
      </c>
      <c r="D43" s="116" t="s">
        <v>48</v>
      </c>
      <c r="E43" s="130">
        <v>-771</v>
      </c>
      <c r="F43" s="116" t="s">
        <v>195</v>
      </c>
      <c r="G43" s="130">
        <v>-422</v>
      </c>
      <c r="H43" s="117" t="s">
        <v>345</v>
      </c>
      <c r="I43" s="131">
        <v>9341</v>
      </c>
    </row>
    <row r="44" spans="1:9" x14ac:dyDescent="0.3">
      <c r="A44" s="118">
        <v>43291</v>
      </c>
      <c r="B44" s="129">
        <v>45422</v>
      </c>
      <c r="C44" s="116" t="s">
        <v>60</v>
      </c>
      <c r="D44" s="116" t="s">
        <v>61</v>
      </c>
      <c r="E44" s="130">
        <v>-733</v>
      </c>
      <c r="F44" s="116" t="s">
        <v>175</v>
      </c>
      <c r="G44" s="130">
        <v>-301</v>
      </c>
      <c r="H44" s="117" t="s">
        <v>347</v>
      </c>
      <c r="I44" s="131">
        <v>12060</v>
      </c>
    </row>
    <row r="45" spans="1:9" x14ac:dyDescent="0.3">
      <c r="A45" s="118">
        <v>42653</v>
      </c>
      <c r="B45" s="129">
        <v>45514</v>
      </c>
      <c r="C45" s="116" t="s">
        <v>49</v>
      </c>
      <c r="D45" s="116" t="s">
        <v>51</v>
      </c>
      <c r="E45" s="130">
        <v>-1466</v>
      </c>
      <c r="F45" s="116" t="s">
        <v>175</v>
      </c>
      <c r="G45" s="130">
        <v>-301</v>
      </c>
      <c r="H45" s="117" t="s">
        <v>349</v>
      </c>
      <c r="I45" s="131">
        <v>9865</v>
      </c>
    </row>
    <row r="46" spans="1:9" x14ac:dyDescent="0.3">
      <c r="A46" s="118">
        <v>42988</v>
      </c>
      <c r="B46" s="129">
        <v>45301</v>
      </c>
      <c r="C46" s="116" t="s">
        <v>49</v>
      </c>
      <c r="D46" s="116" t="s">
        <v>52</v>
      </c>
      <c r="E46" s="130">
        <v>-1560</v>
      </c>
      <c r="F46" s="116" t="s">
        <v>175</v>
      </c>
      <c r="G46" s="130">
        <v>-301</v>
      </c>
      <c r="H46" s="117" t="s">
        <v>351</v>
      </c>
      <c r="I46" s="131">
        <v>19727</v>
      </c>
    </row>
    <row r="47" spans="1:9" x14ac:dyDescent="0.3">
      <c r="A47" s="118">
        <v>42896</v>
      </c>
      <c r="B47" s="129">
        <v>44540</v>
      </c>
      <c r="C47" s="116" t="s">
        <v>49</v>
      </c>
      <c r="D47" s="116" t="s">
        <v>53</v>
      </c>
      <c r="E47" s="130">
        <v>-769</v>
      </c>
      <c r="F47" s="116" t="s">
        <v>166</v>
      </c>
      <c r="G47" s="130">
        <v>-215</v>
      </c>
      <c r="H47" s="117" t="s">
        <v>353</v>
      </c>
      <c r="I47" s="131">
        <v>12392</v>
      </c>
    </row>
    <row r="48" spans="1:9" x14ac:dyDescent="0.3">
      <c r="A48" s="118">
        <v>43261</v>
      </c>
      <c r="B48" s="129">
        <v>44752</v>
      </c>
      <c r="C48" s="116" t="s">
        <v>49</v>
      </c>
      <c r="D48" s="116" t="s">
        <v>54</v>
      </c>
      <c r="E48" s="130">
        <v>-906</v>
      </c>
      <c r="F48" s="116" t="s">
        <v>166</v>
      </c>
      <c r="G48" s="130">
        <v>-215</v>
      </c>
      <c r="H48" s="117" t="s">
        <v>355</v>
      </c>
      <c r="I48" s="131">
        <v>17221</v>
      </c>
    </row>
    <row r="49" spans="1:9" x14ac:dyDescent="0.3">
      <c r="A49" s="118">
        <v>42592</v>
      </c>
      <c r="B49" s="129">
        <v>44722</v>
      </c>
      <c r="C49" s="116" t="s">
        <v>49</v>
      </c>
      <c r="D49" s="116" t="s">
        <v>55</v>
      </c>
      <c r="E49" s="130">
        <v>-1695</v>
      </c>
      <c r="F49" s="116" t="s">
        <v>166</v>
      </c>
      <c r="G49" s="130">
        <v>-215</v>
      </c>
      <c r="H49" s="117" t="s">
        <v>357</v>
      </c>
      <c r="I49" s="131">
        <v>9059</v>
      </c>
    </row>
    <row r="50" spans="1:9" x14ac:dyDescent="0.3">
      <c r="A50" s="118">
        <v>42896</v>
      </c>
      <c r="B50" s="129">
        <v>44875</v>
      </c>
      <c r="C50" s="116" t="s">
        <v>49</v>
      </c>
      <c r="D50" s="116" t="s">
        <v>56</v>
      </c>
      <c r="E50" s="130">
        <v>-1200</v>
      </c>
      <c r="F50" s="116" t="s">
        <v>166</v>
      </c>
      <c r="G50" s="130">
        <v>-215</v>
      </c>
      <c r="H50" s="117" t="s">
        <v>359</v>
      </c>
      <c r="I50" s="131">
        <v>14121</v>
      </c>
    </row>
    <row r="51" spans="1:9" x14ac:dyDescent="0.3">
      <c r="A51" s="118">
        <v>42500</v>
      </c>
      <c r="B51" s="129">
        <v>44510</v>
      </c>
      <c r="C51" s="116" t="s">
        <v>49</v>
      </c>
      <c r="D51" s="116" t="s">
        <v>57</v>
      </c>
      <c r="E51" s="130">
        <v>-1086</v>
      </c>
      <c r="F51" s="116" t="s">
        <v>166</v>
      </c>
      <c r="G51" s="130">
        <v>-215</v>
      </c>
      <c r="H51" s="117" t="s">
        <v>361</v>
      </c>
      <c r="I51" s="131">
        <v>14562</v>
      </c>
    </row>
    <row r="52" spans="1:9" x14ac:dyDescent="0.3">
      <c r="A52" s="118">
        <v>42500</v>
      </c>
      <c r="B52" s="129">
        <v>44387</v>
      </c>
      <c r="C52" s="116" t="s">
        <v>134</v>
      </c>
      <c r="D52" s="116" t="s">
        <v>135</v>
      </c>
      <c r="E52" s="130">
        <v>-663</v>
      </c>
      <c r="F52" s="116" t="s">
        <v>166</v>
      </c>
      <c r="G52" s="130">
        <v>-215</v>
      </c>
      <c r="H52" s="116" t="s">
        <v>363</v>
      </c>
      <c r="I52" s="131">
        <v>10190</v>
      </c>
    </row>
    <row r="53" spans="1:9" x14ac:dyDescent="0.3">
      <c r="A53" s="118">
        <v>43322</v>
      </c>
      <c r="B53" s="129">
        <v>44418</v>
      </c>
      <c r="C53" s="116" t="s">
        <v>134</v>
      </c>
      <c r="D53" s="116" t="s">
        <v>136</v>
      </c>
      <c r="E53" s="130">
        <v>-951</v>
      </c>
      <c r="F53" s="116" t="s">
        <v>171</v>
      </c>
      <c r="G53" s="130">
        <v>-459</v>
      </c>
      <c r="H53" s="116" t="s">
        <v>365</v>
      </c>
      <c r="I53" s="131">
        <v>18448</v>
      </c>
    </row>
    <row r="54" spans="1:9" x14ac:dyDescent="0.3">
      <c r="A54" s="118">
        <v>44175</v>
      </c>
      <c r="B54" s="129">
        <v>44844</v>
      </c>
      <c r="C54" s="116" t="s">
        <v>20</v>
      </c>
      <c r="D54" s="116" t="s">
        <v>21</v>
      </c>
      <c r="E54" s="130">
        <v>-1045</v>
      </c>
      <c r="F54" s="116" t="s">
        <v>244</v>
      </c>
      <c r="G54" s="130">
        <v>-497</v>
      </c>
      <c r="H54" s="116" t="s">
        <v>367</v>
      </c>
      <c r="I54" s="131">
        <v>12083</v>
      </c>
    </row>
    <row r="55" spans="1:9" x14ac:dyDescent="0.3">
      <c r="A55" s="118">
        <v>42500</v>
      </c>
      <c r="B55" s="129">
        <v>44630</v>
      </c>
      <c r="C55" s="116" t="s">
        <v>114</v>
      </c>
      <c r="D55" s="116" t="s">
        <v>115</v>
      </c>
      <c r="E55" s="130">
        <v>-968</v>
      </c>
      <c r="F55" s="116" t="s">
        <v>221</v>
      </c>
      <c r="G55" s="130">
        <v>-341</v>
      </c>
      <c r="H55" s="116" t="s">
        <v>369</v>
      </c>
      <c r="I55" s="131">
        <v>15159</v>
      </c>
    </row>
    <row r="56" spans="1:9" x14ac:dyDescent="0.3">
      <c r="A56" s="118">
        <v>43110</v>
      </c>
      <c r="B56" s="129">
        <v>44722</v>
      </c>
      <c r="C56" s="116" t="s">
        <v>11</v>
      </c>
      <c r="D56" s="116" t="s">
        <v>12</v>
      </c>
      <c r="E56" s="130">
        <v>-1073</v>
      </c>
      <c r="F56" s="116" t="s">
        <v>221</v>
      </c>
      <c r="G56" s="130">
        <v>-341</v>
      </c>
      <c r="H56" s="116" t="s">
        <v>371</v>
      </c>
      <c r="I56" s="131">
        <v>13972</v>
      </c>
    </row>
    <row r="57" spans="1:9" x14ac:dyDescent="0.3">
      <c r="A57" s="118">
        <v>42623</v>
      </c>
      <c r="B57" s="129">
        <v>44540</v>
      </c>
      <c r="C57" s="116" t="s">
        <v>92</v>
      </c>
      <c r="D57" s="116" t="s">
        <v>93</v>
      </c>
      <c r="E57" s="130">
        <v>-948</v>
      </c>
      <c r="F57" s="116" t="s">
        <v>231</v>
      </c>
      <c r="G57" s="130">
        <v>-438</v>
      </c>
      <c r="H57" s="116" t="s">
        <v>373</v>
      </c>
      <c r="I57" s="131">
        <v>14757</v>
      </c>
    </row>
    <row r="58" spans="1:9" x14ac:dyDescent="0.3">
      <c r="A58" s="118">
        <v>42835</v>
      </c>
      <c r="B58" s="129">
        <v>44387</v>
      </c>
      <c r="C58" s="116" t="s">
        <v>37</v>
      </c>
      <c r="D58" s="116" t="s">
        <v>38</v>
      </c>
      <c r="E58" s="130">
        <v>-1382</v>
      </c>
      <c r="F58" s="116" t="s">
        <v>231</v>
      </c>
      <c r="G58" s="130">
        <v>-438</v>
      </c>
      <c r="H58" s="116" t="s">
        <v>375</v>
      </c>
      <c r="I58" s="131">
        <v>14231</v>
      </c>
    </row>
    <row r="59" spans="1:9" x14ac:dyDescent="0.3">
      <c r="A59" s="118">
        <v>43687</v>
      </c>
      <c r="B59" s="129">
        <v>45787</v>
      </c>
      <c r="C59" s="116" t="s">
        <v>26</v>
      </c>
      <c r="D59" s="116" t="s">
        <v>27</v>
      </c>
      <c r="E59" s="130">
        <v>-1626</v>
      </c>
      <c r="F59" s="116" t="s">
        <v>250</v>
      </c>
      <c r="G59" s="130">
        <v>-388</v>
      </c>
      <c r="H59" s="116" t="s">
        <v>377</v>
      </c>
      <c r="I59" s="131">
        <v>12418</v>
      </c>
    </row>
    <row r="60" spans="1:9" x14ac:dyDescent="0.3">
      <c r="A60" s="118">
        <v>43992</v>
      </c>
      <c r="B60" s="129">
        <v>44357</v>
      </c>
      <c r="C60" s="116" t="s">
        <v>20</v>
      </c>
      <c r="D60" s="116" t="s">
        <v>22</v>
      </c>
      <c r="E60" s="130">
        <v>-1683</v>
      </c>
      <c r="F60" s="116" t="s">
        <v>256</v>
      </c>
      <c r="G60" s="130">
        <v>-200</v>
      </c>
      <c r="H60" s="116" t="s">
        <v>379</v>
      </c>
      <c r="I60" s="131">
        <v>14478</v>
      </c>
    </row>
    <row r="61" spans="1:9" x14ac:dyDescent="0.3">
      <c r="A61" s="118">
        <v>42500</v>
      </c>
      <c r="B61" s="129">
        <v>45787</v>
      </c>
      <c r="C61" s="116" t="s">
        <v>11</v>
      </c>
      <c r="D61" s="116" t="s">
        <v>14</v>
      </c>
      <c r="E61" s="130">
        <v>-893</v>
      </c>
      <c r="F61" s="116" t="s">
        <v>173</v>
      </c>
      <c r="G61" s="130">
        <v>-204</v>
      </c>
      <c r="H61" s="116" t="s">
        <v>381</v>
      </c>
      <c r="I61" s="131">
        <v>9101</v>
      </c>
    </row>
    <row r="62" spans="1:9" x14ac:dyDescent="0.3">
      <c r="A62" s="118">
        <v>42379</v>
      </c>
      <c r="B62" s="129">
        <v>44905</v>
      </c>
      <c r="C62" s="116" t="s">
        <v>143</v>
      </c>
      <c r="D62" s="116" t="s">
        <v>144</v>
      </c>
      <c r="E62" s="130">
        <v>-1733</v>
      </c>
      <c r="F62" s="116" t="s">
        <v>248</v>
      </c>
      <c r="G62" s="130">
        <v>-445</v>
      </c>
      <c r="H62" s="116" t="s">
        <v>383</v>
      </c>
      <c r="I62" s="131">
        <v>14784</v>
      </c>
    </row>
    <row r="63" spans="1:9" x14ac:dyDescent="0.3">
      <c r="A63" s="118">
        <v>42926</v>
      </c>
      <c r="B63" s="129">
        <v>45940</v>
      </c>
      <c r="C63" s="116" t="s">
        <v>92</v>
      </c>
      <c r="D63" s="116" t="s">
        <v>94</v>
      </c>
      <c r="E63" s="130">
        <v>-1645</v>
      </c>
      <c r="F63" s="116" t="s">
        <v>248</v>
      </c>
      <c r="G63" s="130">
        <v>-445</v>
      </c>
      <c r="H63" s="116" t="s">
        <v>385</v>
      </c>
      <c r="I63" s="131">
        <v>19256</v>
      </c>
    </row>
    <row r="64" spans="1:9" x14ac:dyDescent="0.3">
      <c r="A64" s="118">
        <v>42592</v>
      </c>
      <c r="B64" s="129">
        <v>44479</v>
      </c>
      <c r="C64" s="116" t="s">
        <v>114</v>
      </c>
      <c r="D64" s="116" t="s">
        <v>116</v>
      </c>
      <c r="E64" s="130">
        <v>-1009</v>
      </c>
      <c r="F64" s="116" t="s">
        <v>248</v>
      </c>
      <c r="G64" s="130">
        <v>-445</v>
      </c>
      <c r="H64" s="116" t="s">
        <v>387</v>
      </c>
      <c r="I64" s="131">
        <v>18673</v>
      </c>
    </row>
    <row r="65" spans="1:9" x14ac:dyDescent="0.3">
      <c r="A65" s="118">
        <v>43322</v>
      </c>
      <c r="B65" s="129">
        <v>44510</v>
      </c>
      <c r="C65" s="116" t="s">
        <v>114</v>
      </c>
      <c r="D65" s="116" t="s">
        <v>117</v>
      </c>
      <c r="E65" s="130">
        <v>-1511</v>
      </c>
      <c r="F65" s="116" t="s">
        <v>242</v>
      </c>
      <c r="G65" s="130">
        <v>-436</v>
      </c>
      <c r="H65" s="116" t="s">
        <v>389</v>
      </c>
      <c r="I65" s="131">
        <v>14479</v>
      </c>
    </row>
    <row r="66" spans="1:9" x14ac:dyDescent="0.3">
      <c r="A66" s="118">
        <v>44053</v>
      </c>
      <c r="B66" s="129">
        <v>45971</v>
      </c>
      <c r="C66" s="116" t="s">
        <v>11</v>
      </c>
      <c r="D66" s="116" t="s">
        <v>15</v>
      </c>
      <c r="E66" s="130">
        <v>-1091</v>
      </c>
      <c r="F66" s="116" t="s">
        <v>207</v>
      </c>
      <c r="G66" s="130">
        <v>-222</v>
      </c>
      <c r="H66" s="116" t="s">
        <v>391</v>
      </c>
      <c r="I66" s="131">
        <v>15933</v>
      </c>
    </row>
    <row r="67" spans="1:9" x14ac:dyDescent="0.3">
      <c r="A67" s="118">
        <v>43687</v>
      </c>
      <c r="B67" s="129">
        <v>45636</v>
      </c>
      <c r="C67" s="116" t="s">
        <v>134</v>
      </c>
      <c r="D67" s="116" t="s">
        <v>137</v>
      </c>
      <c r="E67" s="130">
        <v>-1559</v>
      </c>
      <c r="F67" s="116" t="s">
        <v>181</v>
      </c>
      <c r="G67" s="130">
        <v>-268</v>
      </c>
      <c r="H67" s="116" t="s">
        <v>393</v>
      </c>
      <c r="I67" s="131">
        <v>11792</v>
      </c>
    </row>
    <row r="68" spans="1:9" x14ac:dyDescent="0.3">
      <c r="A68" s="118">
        <v>42500</v>
      </c>
      <c r="B68" s="129">
        <v>45453</v>
      </c>
      <c r="C68" s="116" t="s">
        <v>26</v>
      </c>
      <c r="D68" s="116" t="s">
        <v>28</v>
      </c>
      <c r="E68" s="130">
        <v>-743</v>
      </c>
      <c r="F68" s="116" t="s">
        <v>181</v>
      </c>
      <c r="G68" s="130">
        <v>-268</v>
      </c>
      <c r="H68" s="116" t="s">
        <v>395</v>
      </c>
      <c r="I68" s="131">
        <v>14024</v>
      </c>
    </row>
    <row r="69" spans="1:9" x14ac:dyDescent="0.3">
      <c r="A69" s="118">
        <v>42988</v>
      </c>
      <c r="B69" s="129">
        <v>44783</v>
      </c>
      <c r="C69" s="116" t="s">
        <v>126</v>
      </c>
      <c r="D69" s="116" t="s">
        <v>127</v>
      </c>
      <c r="E69" s="130">
        <v>-730</v>
      </c>
      <c r="F69" s="116" t="s">
        <v>158</v>
      </c>
      <c r="G69" s="130">
        <v>-267</v>
      </c>
      <c r="H69" s="116" t="s">
        <v>397</v>
      </c>
      <c r="I69" s="131">
        <v>19042</v>
      </c>
    </row>
    <row r="70" spans="1:9" x14ac:dyDescent="0.3">
      <c r="A70" s="118">
        <v>42926</v>
      </c>
      <c r="B70" s="129">
        <v>44265</v>
      </c>
      <c r="C70" s="116" t="s">
        <v>239</v>
      </c>
      <c r="D70" s="116" t="s">
        <v>456</v>
      </c>
      <c r="E70" s="130">
        <v>-1392</v>
      </c>
      <c r="F70" s="116" t="s">
        <v>201</v>
      </c>
      <c r="G70" s="130">
        <v>-425</v>
      </c>
      <c r="H70" s="116" t="s">
        <v>399</v>
      </c>
      <c r="I70" s="131">
        <v>16067</v>
      </c>
    </row>
    <row r="71" spans="1:9" x14ac:dyDescent="0.3">
      <c r="A71" s="118">
        <v>43656</v>
      </c>
      <c r="B71" s="129">
        <v>45575</v>
      </c>
      <c r="C71" s="116" t="s">
        <v>143</v>
      </c>
      <c r="D71" s="116" t="s">
        <v>145</v>
      </c>
      <c r="E71" s="130">
        <v>-1364</v>
      </c>
      <c r="F71" s="116" t="s">
        <v>217</v>
      </c>
      <c r="G71" s="130">
        <v>-494</v>
      </c>
      <c r="H71" s="116" t="s">
        <v>401</v>
      </c>
      <c r="I71" s="131">
        <v>13007</v>
      </c>
    </row>
    <row r="72" spans="1:9" x14ac:dyDescent="0.3">
      <c r="A72" s="118">
        <v>43414</v>
      </c>
      <c r="B72" s="129">
        <v>44905</v>
      </c>
      <c r="C72" s="116" t="s">
        <v>20</v>
      </c>
      <c r="D72" s="116" t="s">
        <v>23</v>
      </c>
      <c r="E72" s="130">
        <v>-1546</v>
      </c>
      <c r="F72" s="116" t="s">
        <v>233</v>
      </c>
      <c r="G72" s="130">
        <v>-259</v>
      </c>
      <c r="H72" s="116" t="s">
        <v>403</v>
      </c>
      <c r="I72" s="131">
        <v>16200</v>
      </c>
    </row>
    <row r="73" spans="1:9" x14ac:dyDescent="0.3">
      <c r="A73" s="118">
        <v>42896</v>
      </c>
      <c r="B73" s="129">
        <v>44722</v>
      </c>
      <c r="C73" s="116" t="s">
        <v>11</v>
      </c>
      <c r="D73" s="116" t="s">
        <v>16</v>
      </c>
      <c r="E73" s="130">
        <v>-723</v>
      </c>
      <c r="F73" s="116" t="s">
        <v>217</v>
      </c>
      <c r="G73" s="130">
        <v>-494</v>
      </c>
      <c r="H73" s="116" t="s">
        <v>405</v>
      </c>
      <c r="I73" s="131">
        <v>17523</v>
      </c>
    </row>
    <row r="74" spans="1:9" x14ac:dyDescent="0.3">
      <c r="A74" s="118">
        <v>43475</v>
      </c>
      <c r="B74" s="129">
        <v>44326</v>
      </c>
      <c r="C74" s="116" t="s">
        <v>126</v>
      </c>
      <c r="D74" s="116" t="s">
        <v>128</v>
      </c>
      <c r="E74" s="130">
        <v>-644</v>
      </c>
      <c r="F74" s="116" t="s">
        <v>233</v>
      </c>
      <c r="G74" s="130">
        <v>-259</v>
      </c>
      <c r="H74" s="116" t="s">
        <v>407</v>
      </c>
      <c r="I74" s="131">
        <v>13400</v>
      </c>
    </row>
    <row r="75" spans="1:9" x14ac:dyDescent="0.3">
      <c r="A75" s="118">
        <v>42379</v>
      </c>
      <c r="B75" s="129">
        <v>44418</v>
      </c>
      <c r="C75" s="116" t="s">
        <v>20</v>
      </c>
      <c r="D75" s="116" t="s">
        <v>24</v>
      </c>
      <c r="E75" s="130">
        <v>-1227</v>
      </c>
      <c r="F75" s="116" t="s">
        <v>246</v>
      </c>
      <c r="G75" s="130">
        <v>-266</v>
      </c>
      <c r="H75" s="116" t="s">
        <v>409</v>
      </c>
      <c r="I75" s="131">
        <v>15385</v>
      </c>
    </row>
    <row r="76" spans="1:9" x14ac:dyDescent="0.3">
      <c r="A76" s="118">
        <v>43656</v>
      </c>
      <c r="B76" s="129">
        <v>44783</v>
      </c>
      <c r="C76" s="116" t="s">
        <v>104</v>
      </c>
      <c r="D76" s="116" t="s">
        <v>105</v>
      </c>
      <c r="E76" s="130">
        <v>-1606</v>
      </c>
      <c r="F76" s="116" t="s">
        <v>197</v>
      </c>
      <c r="G76" s="130">
        <v>-239</v>
      </c>
      <c r="H76" s="116" t="s">
        <v>411</v>
      </c>
      <c r="I76" s="131">
        <v>16423</v>
      </c>
    </row>
    <row r="77" spans="1:9" x14ac:dyDescent="0.3">
      <c r="A77" s="118">
        <v>42410</v>
      </c>
      <c r="B77" s="129">
        <v>44206</v>
      </c>
      <c r="C77" s="116" t="s">
        <v>86</v>
      </c>
      <c r="D77" s="116" t="s">
        <v>87</v>
      </c>
      <c r="E77" s="130">
        <v>-1281</v>
      </c>
      <c r="F77" s="116" t="s">
        <v>187</v>
      </c>
      <c r="G77" s="130">
        <v>-341</v>
      </c>
      <c r="H77" s="116" t="s">
        <v>413</v>
      </c>
      <c r="I77" s="131">
        <v>12079</v>
      </c>
    </row>
    <row r="78" spans="1:9" x14ac:dyDescent="0.3">
      <c r="A78" s="118">
        <v>43779</v>
      </c>
      <c r="B78" s="129">
        <v>44265</v>
      </c>
      <c r="C78" s="116" t="s">
        <v>119</v>
      </c>
      <c r="D78" s="116" t="s">
        <v>120</v>
      </c>
      <c r="E78" s="130">
        <v>-676</v>
      </c>
      <c r="F78" s="116" t="s">
        <v>252</v>
      </c>
      <c r="G78" s="130">
        <v>-418</v>
      </c>
      <c r="H78" s="116" t="s">
        <v>415</v>
      </c>
      <c r="I78" s="131">
        <v>9498</v>
      </c>
    </row>
    <row r="79" spans="1:9" x14ac:dyDescent="0.3">
      <c r="A79" s="118">
        <v>43961</v>
      </c>
      <c r="B79" s="129">
        <v>44630</v>
      </c>
      <c r="C79" s="116" t="s">
        <v>99</v>
      </c>
      <c r="D79" s="116" t="s">
        <v>100</v>
      </c>
      <c r="E79" s="130">
        <v>-806</v>
      </c>
      <c r="F79" s="116" t="s">
        <v>264</v>
      </c>
      <c r="G79" s="130">
        <v>-402</v>
      </c>
      <c r="H79" s="116" t="s">
        <v>417</v>
      </c>
      <c r="I79" s="131">
        <v>9840</v>
      </c>
    </row>
    <row r="80" spans="1:9" x14ac:dyDescent="0.3">
      <c r="A80" s="118">
        <v>43200</v>
      </c>
      <c r="B80" s="129">
        <v>44387</v>
      </c>
      <c r="C80" s="116" t="s">
        <v>114</v>
      </c>
      <c r="D80" s="116" t="s">
        <v>118</v>
      </c>
      <c r="E80" s="130">
        <v>-1152</v>
      </c>
      <c r="F80" s="116" t="s">
        <v>264</v>
      </c>
      <c r="G80" s="130">
        <v>-402</v>
      </c>
      <c r="H80" s="116" t="s">
        <v>419</v>
      </c>
      <c r="I80" s="131">
        <v>18060</v>
      </c>
    </row>
    <row r="81" spans="1:9" x14ac:dyDescent="0.3">
      <c r="A81" s="118">
        <v>43748</v>
      </c>
      <c r="B81" s="129">
        <v>44479</v>
      </c>
      <c r="C81" s="116" t="s">
        <v>92</v>
      </c>
      <c r="D81" s="116" t="s">
        <v>95</v>
      </c>
      <c r="E81" s="130">
        <v>-1588</v>
      </c>
      <c r="F81" s="116" t="s">
        <v>197</v>
      </c>
      <c r="G81" s="130">
        <v>-239</v>
      </c>
      <c r="H81" s="116" t="s">
        <v>421</v>
      </c>
      <c r="I81" s="131">
        <v>12237</v>
      </c>
    </row>
    <row r="82" spans="1:9" x14ac:dyDescent="0.3">
      <c r="A82" s="118">
        <v>42410</v>
      </c>
      <c r="B82" s="129">
        <v>44814</v>
      </c>
      <c r="C82" s="116" t="s">
        <v>126</v>
      </c>
      <c r="D82" s="116" t="s">
        <v>129</v>
      </c>
      <c r="E82" s="130">
        <v>-1223</v>
      </c>
      <c r="F82" s="116" t="s">
        <v>197</v>
      </c>
      <c r="G82" s="130">
        <v>-239</v>
      </c>
      <c r="H82" s="116" t="s">
        <v>422</v>
      </c>
      <c r="I82" s="131">
        <v>13675</v>
      </c>
    </row>
    <row r="83" spans="1:9" x14ac:dyDescent="0.3">
      <c r="A83" s="118">
        <v>43383</v>
      </c>
      <c r="B83" s="129">
        <v>44814</v>
      </c>
      <c r="C83" s="116" t="s">
        <v>131</v>
      </c>
      <c r="D83" s="116" t="s">
        <v>132</v>
      </c>
      <c r="E83" s="130">
        <v>-1388</v>
      </c>
      <c r="F83" s="116" t="s">
        <v>235</v>
      </c>
      <c r="G83" s="130">
        <v>-363</v>
      </c>
      <c r="H83" s="116" t="s">
        <v>424</v>
      </c>
      <c r="I83" s="131">
        <v>12129</v>
      </c>
    </row>
    <row r="84" spans="1:9" x14ac:dyDescent="0.3">
      <c r="A84" s="118">
        <v>42776</v>
      </c>
      <c r="B84" s="129">
        <v>44387</v>
      </c>
      <c r="C84" s="116" t="s">
        <v>134</v>
      </c>
      <c r="D84" s="116" t="s">
        <v>138</v>
      </c>
      <c r="E84" s="130">
        <v>-1538</v>
      </c>
      <c r="F84" s="116" t="s">
        <v>235</v>
      </c>
      <c r="G84" s="130">
        <v>-363</v>
      </c>
      <c r="H84" s="116" t="s">
        <v>426</v>
      </c>
      <c r="I84" s="131">
        <v>14372</v>
      </c>
    </row>
    <row r="85" spans="1:9" x14ac:dyDescent="0.3">
      <c r="A85" s="118">
        <v>43353</v>
      </c>
      <c r="B85" s="129">
        <v>44905</v>
      </c>
      <c r="C85" s="116" t="s">
        <v>88</v>
      </c>
      <c r="D85" s="116" t="s">
        <v>89</v>
      </c>
      <c r="E85" s="130">
        <v>-1473</v>
      </c>
      <c r="F85" s="116" t="s">
        <v>235</v>
      </c>
      <c r="G85" s="130">
        <v>-363</v>
      </c>
      <c r="H85" s="116" t="s">
        <v>428</v>
      </c>
      <c r="I85" s="131">
        <v>16731</v>
      </c>
    </row>
    <row r="86" spans="1:9" x14ac:dyDescent="0.3">
      <c r="A86" s="118">
        <v>43748</v>
      </c>
      <c r="B86" s="129">
        <v>44479</v>
      </c>
      <c r="C86" s="116" t="s">
        <v>131</v>
      </c>
      <c r="D86" s="116" t="s">
        <v>133</v>
      </c>
      <c r="E86" s="130">
        <v>-1233</v>
      </c>
      <c r="F86" s="116" t="s">
        <v>235</v>
      </c>
      <c r="G86" s="130">
        <v>-363</v>
      </c>
      <c r="H86" s="116" t="s">
        <v>430</v>
      </c>
      <c r="I86" s="131">
        <v>15525</v>
      </c>
    </row>
    <row r="87" spans="1:9" x14ac:dyDescent="0.3">
      <c r="A87" s="118">
        <v>43322</v>
      </c>
      <c r="B87" s="129">
        <v>44357</v>
      </c>
      <c r="C87" s="116" t="s">
        <v>99</v>
      </c>
      <c r="D87" s="116" t="s">
        <v>101</v>
      </c>
      <c r="E87" s="130">
        <v>-1731</v>
      </c>
      <c r="F87" s="116" t="s">
        <v>169</v>
      </c>
      <c r="G87" s="130">
        <v>-487</v>
      </c>
      <c r="H87" s="116" t="s">
        <v>432</v>
      </c>
      <c r="I87" s="131">
        <v>15622</v>
      </c>
    </row>
    <row r="88" spans="1:9" x14ac:dyDescent="0.3">
      <c r="A88" s="118">
        <v>42531</v>
      </c>
      <c r="B88" s="129">
        <v>45545</v>
      </c>
      <c r="C88" s="116" t="s">
        <v>20</v>
      </c>
      <c r="D88" s="116" t="s">
        <v>25</v>
      </c>
      <c r="E88" s="130">
        <v>-1077</v>
      </c>
      <c r="F88" s="116" t="s">
        <v>169</v>
      </c>
      <c r="G88" s="130">
        <v>-487</v>
      </c>
      <c r="H88" s="116" t="s">
        <v>434</v>
      </c>
      <c r="I88" s="131">
        <v>9725</v>
      </c>
    </row>
    <row r="89" spans="1:9" x14ac:dyDescent="0.3">
      <c r="A89" s="118">
        <v>43809</v>
      </c>
      <c r="B89" s="129">
        <v>45332</v>
      </c>
      <c r="C89" s="116" t="s">
        <v>37</v>
      </c>
      <c r="D89" s="116" t="s">
        <v>39</v>
      </c>
      <c r="E89" s="130">
        <v>-519</v>
      </c>
      <c r="F89" s="116" t="s">
        <v>229</v>
      </c>
      <c r="G89" s="130">
        <v>-307</v>
      </c>
      <c r="H89" s="116" t="s">
        <v>436</v>
      </c>
      <c r="I89" s="131">
        <v>14290</v>
      </c>
    </row>
    <row r="90" spans="1:9" x14ac:dyDescent="0.3">
      <c r="A90" s="118">
        <v>42531</v>
      </c>
      <c r="B90" s="129">
        <v>45332</v>
      </c>
      <c r="C90" s="116" t="s">
        <v>92</v>
      </c>
      <c r="D90" s="116" t="s">
        <v>96</v>
      </c>
      <c r="E90" s="130">
        <v>-1050</v>
      </c>
      <c r="F90" s="116" t="s">
        <v>229</v>
      </c>
      <c r="G90" s="130">
        <v>-307</v>
      </c>
      <c r="H90" s="116" t="s">
        <v>438</v>
      </c>
      <c r="I90" s="131">
        <v>11517</v>
      </c>
    </row>
    <row r="91" spans="1:9" x14ac:dyDescent="0.3">
      <c r="A91" s="118">
        <v>42500</v>
      </c>
      <c r="B91" s="129">
        <v>45392</v>
      </c>
      <c r="C91" s="116" t="s">
        <v>88</v>
      </c>
      <c r="D91" s="116" t="s">
        <v>90</v>
      </c>
      <c r="E91" s="130">
        <v>-1203</v>
      </c>
      <c r="F91" s="116" t="s">
        <v>199</v>
      </c>
      <c r="G91" s="130">
        <v>-202</v>
      </c>
      <c r="H91" s="116" t="s">
        <v>440</v>
      </c>
      <c r="I91" s="131">
        <v>17409</v>
      </c>
    </row>
    <row r="92" spans="1:9" x14ac:dyDescent="0.3">
      <c r="A92" s="121">
        <v>42926</v>
      </c>
      <c r="B92" s="133">
        <v>45301</v>
      </c>
      <c r="C92" s="116" t="s">
        <v>99</v>
      </c>
      <c r="D92" s="116" t="s">
        <v>102</v>
      </c>
      <c r="E92" s="130">
        <v>-979</v>
      </c>
      <c r="F92" s="116" t="s">
        <v>199</v>
      </c>
      <c r="G92" s="130">
        <v>-202</v>
      </c>
      <c r="H92" s="116" t="s">
        <v>442</v>
      </c>
      <c r="I92" s="131">
        <v>13798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866E7-44EA-4F52-8C47-773E1E1F7E20}">
  <sheetPr codeName="גיליון11">
    <tabColor theme="9" tint="0.39997558519241921"/>
  </sheetPr>
  <dimension ref="A3:F10"/>
  <sheetViews>
    <sheetView rightToLeft="1" workbookViewId="0">
      <selection activeCell="E14" sqref="E14"/>
    </sheetView>
  </sheetViews>
  <sheetFormatPr defaultRowHeight="13.8" x14ac:dyDescent="0.25"/>
  <cols>
    <col min="1" max="1" width="16.19921875" bestFit="1" customWidth="1"/>
    <col min="2" max="2" width="12.5" bestFit="1" customWidth="1"/>
    <col min="3" max="5" width="10.09765625" bestFit="1" customWidth="1"/>
    <col min="6" max="6" width="11.59765625" bestFit="1" customWidth="1"/>
  </cols>
  <sheetData>
    <row r="3" spans="1:6" x14ac:dyDescent="0.25">
      <c r="A3" s="140" t="s">
        <v>505</v>
      </c>
      <c r="B3" s="140" t="s">
        <v>504</v>
      </c>
    </row>
    <row r="4" spans="1:6" x14ac:dyDescent="0.25">
      <c r="A4" s="140" t="s">
        <v>506</v>
      </c>
      <c r="B4" t="s">
        <v>509</v>
      </c>
      <c r="C4" t="s">
        <v>510</v>
      </c>
      <c r="D4" t="s">
        <v>511</v>
      </c>
      <c r="E4" t="s">
        <v>512</v>
      </c>
      <c r="F4" t="s">
        <v>507</v>
      </c>
    </row>
    <row r="5" spans="1:6" x14ac:dyDescent="0.25">
      <c r="A5" s="154" t="s">
        <v>508</v>
      </c>
      <c r="B5" s="155">
        <v>71269</v>
      </c>
      <c r="C5" s="155">
        <v>101687</v>
      </c>
      <c r="D5" s="155">
        <v>93003</v>
      </c>
      <c r="E5" s="155">
        <v>37194</v>
      </c>
      <c r="F5" s="155">
        <v>303153</v>
      </c>
    </row>
    <row r="6" spans="1:6" x14ac:dyDescent="0.25">
      <c r="A6" s="156" t="s">
        <v>513</v>
      </c>
      <c r="B6" s="157">
        <v>46641</v>
      </c>
      <c r="C6" s="157">
        <v>86310</v>
      </c>
      <c r="D6" s="157">
        <v>107683</v>
      </c>
      <c r="E6" s="157">
        <v>65776</v>
      </c>
      <c r="F6" s="157">
        <v>306410</v>
      </c>
    </row>
    <row r="7" spans="1:6" x14ac:dyDescent="0.25">
      <c r="A7" s="154" t="s">
        <v>514</v>
      </c>
      <c r="B7" s="155">
        <v>48313</v>
      </c>
      <c r="C7" s="155">
        <v>64746</v>
      </c>
      <c r="D7" s="155">
        <v>104360</v>
      </c>
      <c r="E7" s="155">
        <v>70088</v>
      </c>
      <c r="F7" s="155">
        <v>287507</v>
      </c>
    </row>
    <row r="8" spans="1:6" x14ac:dyDescent="0.25">
      <c r="A8" s="154" t="s">
        <v>515</v>
      </c>
      <c r="B8" s="155">
        <v>28560</v>
      </c>
      <c r="C8" s="155">
        <v>9637</v>
      </c>
      <c r="D8" s="155">
        <v>80595</v>
      </c>
      <c r="E8" s="155">
        <v>73794</v>
      </c>
      <c r="F8" s="155">
        <v>192586</v>
      </c>
    </row>
    <row r="9" spans="1:6" x14ac:dyDescent="0.25">
      <c r="A9" s="154" t="s">
        <v>516</v>
      </c>
      <c r="B9" s="155">
        <v>39751</v>
      </c>
      <c r="C9" s="155">
        <v>58597</v>
      </c>
      <c r="D9" s="155">
        <v>51973</v>
      </c>
      <c r="E9" s="155">
        <v>54894</v>
      </c>
      <c r="F9" s="155">
        <v>205215</v>
      </c>
    </row>
    <row r="10" spans="1:6" x14ac:dyDescent="0.25">
      <c r="A10" s="141" t="s">
        <v>507</v>
      </c>
      <c r="B10" s="143">
        <v>234534</v>
      </c>
      <c r="C10" s="143">
        <v>320977</v>
      </c>
      <c r="D10" s="143">
        <v>437614</v>
      </c>
      <c r="E10" s="143">
        <v>301746</v>
      </c>
      <c r="F10" s="143">
        <v>1294871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39128-47B0-4638-902D-4CE15EE25BE8}">
  <sheetPr codeName="גיליון1">
    <tabColor theme="9" tint="0.39997558519241921"/>
  </sheetPr>
  <dimension ref="A3:B9"/>
  <sheetViews>
    <sheetView rightToLeft="1" workbookViewId="0">
      <selection activeCell="B12" sqref="B12"/>
    </sheetView>
  </sheetViews>
  <sheetFormatPr defaultRowHeight="13.8" x14ac:dyDescent="0.25"/>
  <cols>
    <col min="1" max="1" width="11.59765625" bestFit="1" customWidth="1"/>
    <col min="2" max="2" width="11.19921875" bestFit="1" customWidth="1"/>
    <col min="3" max="3" width="4" bestFit="1" customWidth="1"/>
    <col min="4" max="4" width="4.3984375" bestFit="1" customWidth="1"/>
    <col min="5" max="5" width="4" bestFit="1" customWidth="1"/>
    <col min="6" max="6" width="4.796875" bestFit="1" customWidth="1"/>
    <col min="7" max="7" width="3.8984375" bestFit="1" customWidth="1"/>
    <col min="8" max="8" width="3.19921875" bestFit="1" customWidth="1"/>
    <col min="9" max="9" width="4.296875" bestFit="1" customWidth="1"/>
    <col min="10" max="10" width="4.09765625" bestFit="1" customWidth="1"/>
    <col min="11" max="11" width="3.8984375" bestFit="1" customWidth="1"/>
    <col min="12" max="12" width="4.3984375" bestFit="1" customWidth="1"/>
    <col min="13" max="13" width="4.09765625" bestFit="1" customWidth="1"/>
    <col min="14" max="14" width="8.59765625" bestFit="1" customWidth="1"/>
  </cols>
  <sheetData>
    <row r="3" spans="1:2" x14ac:dyDescent="0.25">
      <c r="A3" s="140" t="s">
        <v>506</v>
      </c>
      <c r="B3" t="s">
        <v>517</v>
      </c>
    </row>
    <row r="4" spans="1:2" x14ac:dyDescent="0.25">
      <c r="A4" s="154" t="s">
        <v>508</v>
      </c>
      <c r="B4" s="158">
        <v>23</v>
      </c>
    </row>
    <row r="5" spans="1:2" x14ac:dyDescent="0.25">
      <c r="A5" s="156" t="s">
        <v>513</v>
      </c>
      <c r="B5" s="159">
        <v>19</v>
      </c>
    </row>
    <row r="6" spans="1:2" x14ac:dyDescent="0.25">
      <c r="A6" s="154" t="s">
        <v>514</v>
      </c>
      <c r="B6" s="158">
        <v>20</v>
      </c>
    </row>
    <row r="7" spans="1:2" x14ac:dyDescent="0.25">
      <c r="A7" s="154" t="s">
        <v>515</v>
      </c>
      <c r="B7" s="158">
        <v>15</v>
      </c>
    </row>
    <row r="8" spans="1:2" x14ac:dyDescent="0.25">
      <c r="A8" s="154" t="s">
        <v>516</v>
      </c>
      <c r="B8" s="158">
        <v>14</v>
      </c>
    </row>
    <row r="9" spans="1:2" x14ac:dyDescent="0.25">
      <c r="A9" s="141" t="s">
        <v>507</v>
      </c>
      <c r="B9" s="142">
        <v>91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B08E5-57E5-4C01-BDF7-5146C6630F68}">
  <sheetPr codeName="גיליון12">
    <tabColor theme="9" tint="0.39997558519241921"/>
  </sheetPr>
  <dimension ref="A3:E17"/>
  <sheetViews>
    <sheetView rightToLeft="1" workbookViewId="0">
      <selection activeCell="D12" sqref="D12"/>
    </sheetView>
  </sheetViews>
  <sheetFormatPr defaultRowHeight="13.8" x14ac:dyDescent="0.25"/>
  <cols>
    <col min="1" max="1" width="11.59765625" bestFit="1" customWidth="1"/>
    <col min="2" max="2" width="16.19921875" bestFit="1" customWidth="1"/>
    <col min="3" max="3" width="23.09765625" bestFit="1" customWidth="1"/>
    <col min="4" max="4" width="14.59765625" bestFit="1" customWidth="1"/>
    <col min="5" max="5" width="12.796875" bestFit="1" customWidth="1"/>
    <col min="9" max="9" width="10.19921875" bestFit="1" customWidth="1"/>
  </cols>
  <sheetData>
    <row r="3" spans="1:5" x14ac:dyDescent="0.25">
      <c r="A3" s="140" t="s">
        <v>506</v>
      </c>
      <c r="B3" t="s">
        <v>505</v>
      </c>
      <c r="C3" t="s">
        <v>519</v>
      </c>
      <c r="D3" t="s">
        <v>518</v>
      </c>
      <c r="E3" s="144" t="s">
        <v>520</v>
      </c>
    </row>
    <row r="4" spans="1:5" x14ac:dyDescent="0.25">
      <c r="A4" s="154" t="s">
        <v>508</v>
      </c>
      <c r="B4" s="160">
        <v>303153</v>
      </c>
      <c r="C4" s="160">
        <v>-25906</v>
      </c>
      <c r="D4" s="160">
        <v>-7132</v>
      </c>
      <c r="E4" s="160">
        <f>SUM(B4:D4)</f>
        <v>270115</v>
      </c>
    </row>
    <row r="5" spans="1:5" x14ac:dyDescent="0.25">
      <c r="A5" s="156" t="s">
        <v>513</v>
      </c>
      <c r="B5" s="161">
        <v>306410</v>
      </c>
      <c r="C5" s="161">
        <v>-21430</v>
      </c>
      <c r="D5" s="161">
        <v>-6362</v>
      </c>
      <c r="E5" s="161">
        <f t="shared" ref="E5:E8" si="0">SUM(B5:D5)</f>
        <v>278618</v>
      </c>
    </row>
    <row r="6" spans="1:5" x14ac:dyDescent="0.25">
      <c r="A6" s="154" t="s">
        <v>514</v>
      </c>
      <c r="B6" s="160">
        <v>287507</v>
      </c>
      <c r="C6" s="160">
        <v>-20966</v>
      </c>
      <c r="D6" s="160">
        <v>-7018</v>
      </c>
      <c r="E6" s="160">
        <f t="shared" si="0"/>
        <v>259523</v>
      </c>
    </row>
    <row r="7" spans="1:5" x14ac:dyDescent="0.25">
      <c r="A7" s="154" t="s">
        <v>515</v>
      </c>
      <c r="B7" s="160">
        <v>192586</v>
      </c>
      <c r="C7" s="160">
        <v>-17484</v>
      </c>
      <c r="D7" s="160">
        <v>-4887</v>
      </c>
      <c r="E7" s="161">
        <f t="shared" si="0"/>
        <v>170215</v>
      </c>
    </row>
    <row r="8" spans="1:5" x14ac:dyDescent="0.25">
      <c r="A8" s="154" t="s">
        <v>516</v>
      </c>
      <c r="B8" s="160">
        <v>205215</v>
      </c>
      <c r="C8" s="160">
        <v>-15626</v>
      </c>
      <c r="D8" s="160">
        <v>-4264</v>
      </c>
      <c r="E8" s="160">
        <f t="shared" si="0"/>
        <v>185325</v>
      </c>
    </row>
    <row r="9" spans="1:5" x14ac:dyDescent="0.25">
      <c r="A9" s="141" t="s">
        <v>507</v>
      </c>
      <c r="B9" s="145">
        <v>1294871</v>
      </c>
      <c r="C9" s="145">
        <v>-101412</v>
      </c>
      <c r="D9" s="145">
        <v>-29663</v>
      </c>
      <c r="E9" s="145">
        <f>SUM(E4:E8)</f>
        <v>1163796</v>
      </c>
    </row>
    <row r="12" spans="1:5" ht="15.6" x14ac:dyDescent="0.3">
      <c r="B12" s="171" t="s">
        <v>521</v>
      </c>
      <c r="C12" s="171"/>
    </row>
    <row r="13" spans="1:5" x14ac:dyDescent="0.25">
      <c r="B13" s="146" t="s">
        <v>508</v>
      </c>
      <c r="C13" s="147">
        <v>270115</v>
      </c>
    </row>
    <row r="14" spans="1:5" x14ac:dyDescent="0.25">
      <c r="B14" s="148" t="s">
        <v>513</v>
      </c>
      <c r="C14" s="149">
        <v>278618</v>
      </c>
    </row>
    <row r="15" spans="1:5" x14ac:dyDescent="0.25">
      <c r="B15" s="146" t="s">
        <v>514</v>
      </c>
      <c r="C15" s="147">
        <v>259523</v>
      </c>
    </row>
    <row r="16" spans="1:5" x14ac:dyDescent="0.25">
      <c r="B16" s="148" t="s">
        <v>515</v>
      </c>
      <c r="C16" s="149">
        <v>170215</v>
      </c>
    </row>
    <row r="17" spans="2:3" x14ac:dyDescent="0.25">
      <c r="B17" s="146" t="s">
        <v>516</v>
      </c>
      <c r="C17" s="147">
        <v>185325</v>
      </c>
    </row>
  </sheetData>
  <mergeCells count="1">
    <mergeCell ref="B12:C12"/>
  </mergeCells>
  <pageMargins left="0.7" right="0.7" top="0.75" bottom="0.75" header="0.3" footer="0.3"/>
  <ignoredErrors>
    <ignoredError sqref="B13:B17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06F68-04C6-48A7-87EF-47C6D34E8562}">
  <sheetPr codeName="גיליון13">
    <tabColor theme="9" tint="0.39997558519241921"/>
  </sheetPr>
  <dimension ref="A3:B7"/>
  <sheetViews>
    <sheetView rightToLeft="1" workbookViewId="0">
      <selection activeCell="B14" sqref="B14"/>
    </sheetView>
  </sheetViews>
  <sheetFormatPr defaultRowHeight="13.8" x14ac:dyDescent="0.25"/>
  <cols>
    <col min="1" max="1" width="11.69921875" bestFit="1" customWidth="1"/>
    <col min="2" max="2" width="11.296875" bestFit="1" customWidth="1"/>
  </cols>
  <sheetData>
    <row r="3" spans="1:2" x14ac:dyDescent="0.25">
      <c r="A3" s="140" t="s">
        <v>506</v>
      </c>
      <c r="B3" t="s">
        <v>517</v>
      </c>
    </row>
    <row r="4" spans="1:2" x14ac:dyDescent="0.25">
      <c r="A4" s="156" t="s">
        <v>10</v>
      </c>
      <c r="B4" s="159">
        <v>19</v>
      </c>
    </row>
    <row r="5" spans="1:2" x14ac:dyDescent="0.25">
      <c r="A5" s="156" t="s">
        <v>19</v>
      </c>
      <c r="B5" s="159">
        <v>46</v>
      </c>
    </row>
    <row r="6" spans="1:2" x14ac:dyDescent="0.25">
      <c r="A6" s="156" t="s">
        <v>36</v>
      </c>
      <c r="B6" s="159">
        <v>35</v>
      </c>
    </row>
    <row r="7" spans="1:2" x14ac:dyDescent="0.25">
      <c r="A7" s="141" t="s">
        <v>507</v>
      </c>
      <c r="B7" s="142">
        <v>100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4C9BE-8DA1-4A90-AB62-594450C7B41A}">
  <sheetPr codeName="גיליון14">
    <tabColor theme="9" tint="0.39997558519241921"/>
  </sheetPr>
  <dimension ref="A3:B55"/>
  <sheetViews>
    <sheetView rightToLeft="1" workbookViewId="0">
      <selection activeCell="C11" sqref="C11"/>
    </sheetView>
  </sheetViews>
  <sheetFormatPr defaultRowHeight="13.8" x14ac:dyDescent="0.25"/>
  <cols>
    <col min="1" max="1" width="12.09765625" bestFit="1" customWidth="1"/>
    <col min="2" max="2" width="16" bestFit="1" customWidth="1"/>
  </cols>
  <sheetData>
    <row r="3" spans="1:2" x14ac:dyDescent="0.25">
      <c r="A3" s="140" t="s">
        <v>506</v>
      </c>
      <c r="B3" t="s">
        <v>522</v>
      </c>
    </row>
    <row r="4" spans="1:2" x14ac:dyDescent="0.25">
      <c r="A4" s="150" t="s">
        <v>237</v>
      </c>
      <c r="B4" s="151">
        <v>1</v>
      </c>
    </row>
    <row r="5" spans="1:2" x14ac:dyDescent="0.25">
      <c r="A5" s="152" t="s">
        <v>181</v>
      </c>
      <c r="B5" s="153">
        <v>2</v>
      </c>
    </row>
    <row r="6" spans="1:2" x14ac:dyDescent="0.25">
      <c r="A6" s="150" t="s">
        <v>221</v>
      </c>
      <c r="B6" s="151">
        <v>2</v>
      </c>
    </row>
    <row r="7" spans="1:2" x14ac:dyDescent="0.25">
      <c r="A7" s="152" t="s">
        <v>205</v>
      </c>
      <c r="B7" s="153">
        <v>1</v>
      </c>
    </row>
    <row r="8" spans="1:2" x14ac:dyDescent="0.25">
      <c r="A8" s="150" t="s">
        <v>195</v>
      </c>
      <c r="B8" s="151">
        <v>2</v>
      </c>
    </row>
    <row r="9" spans="1:2" x14ac:dyDescent="0.25">
      <c r="A9" s="152" t="s">
        <v>191</v>
      </c>
      <c r="B9" s="153">
        <v>1</v>
      </c>
    </row>
    <row r="10" spans="1:2" x14ac:dyDescent="0.25">
      <c r="A10" s="150" t="s">
        <v>244</v>
      </c>
      <c r="B10" s="151">
        <v>1</v>
      </c>
    </row>
    <row r="11" spans="1:2" x14ac:dyDescent="0.25">
      <c r="A11" s="152" t="s">
        <v>242</v>
      </c>
      <c r="B11" s="153">
        <v>1</v>
      </c>
    </row>
    <row r="12" spans="1:2" x14ac:dyDescent="0.25">
      <c r="A12" s="150" t="s">
        <v>162</v>
      </c>
      <c r="B12" s="151">
        <v>1</v>
      </c>
    </row>
    <row r="13" spans="1:2" x14ac:dyDescent="0.25">
      <c r="A13" s="152" t="s">
        <v>219</v>
      </c>
      <c r="B13" s="153">
        <v>2</v>
      </c>
    </row>
    <row r="14" spans="1:2" x14ac:dyDescent="0.25">
      <c r="A14" s="150" t="s">
        <v>209</v>
      </c>
      <c r="B14" s="151">
        <v>1</v>
      </c>
    </row>
    <row r="15" spans="1:2" x14ac:dyDescent="0.25">
      <c r="A15" s="152" t="s">
        <v>169</v>
      </c>
      <c r="B15" s="153">
        <v>2</v>
      </c>
    </row>
    <row r="16" spans="1:2" x14ac:dyDescent="0.25">
      <c r="A16" s="150" t="s">
        <v>158</v>
      </c>
      <c r="B16" s="151">
        <v>1</v>
      </c>
    </row>
    <row r="17" spans="1:2" x14ac:dyDescent="0.25">
      <c r="A17" s="152" t="s">
        <v>160</v>
      </c>
      <c r="B17" s="153">
        <v>4</v>
      </c>
    </row>
    <row r="18" spans="1:2" x14ac:dyDescent="0.25">
      <c r="A18" s="150" t="s">
        <v>171</v>
      </c>
      <c r="B18" s="151">
        <v>1</v>
      </c>
    </row>
    <row r="19" spans="1:2" x14ac:dyDescent="0.25">
      <c r="A19" s="152" t="s">
        <v>177</v>
      </c>
      <c r="B19" s="153">
        <v>1</v>
      </c>
    </row>
    <row r="20" spans="1:2" x14ac:dyDescent="0.25">
      <c r="A20" s="150" t="s">
        <v>166</v>
      </c>
      <c r="B20" s="151">
        <v>6</v>
      </c>
    </row>
    <row r="21" spans="1:2" x14ac:dyDescent="0.25">
      <c r="A21" s="152" t="s">
        <v>229</v>
      </c>
      <c r="B21" s="153">
        <v>2</v>
      </c>
    </row>
    <row r="22" spans="1:2" x14ac:dyDescent="0.25">
      <c r="A22" s="150" t="s">
        <v>179</v>
      </c>
      <c r="B22" s="151">
        <v>2</v>
      </c>
    </row>
    <row r="23" spans="1:2" x14ac:dyDescent="0.25">
      <c r="A23" s="152" t="s">
        <v>235</v>
      </c>
      <c r="B23" s="153">
        <v>4</v>
      </c>
    </row>
    <row r="24" spans="1:2" x14ac:dyDescent="0.25">
      <c r="A24" s="150" t="s">
        <v>246</v>
      </c>
      <c r="B24" s="151">
        <v>1</v>
      </c>
    </row>
    <row r="25" spans="1:2" x14ac:dyDescent="0.25">
      <c r="A25" s="152" t="s">
        <v>203</v>
      </c>
      <c r="B25" s="153">
        <v>2</v>
      </c>
    </row>
    <row r="26" spans="1:2" x14ac:dyDescent="0.25">
      <c r="A26" s="150" t="s">
        <v>240</v>
      </c>
      <c r="B26" s="151">
        <v>3</v>
      </c>
    </row>
    <row r="27" spans="1:2" x14ac:dyDescent="0.25">
      <c r="A27" s="152" t="s">
        <v>250</v>
      </c>
      <c r="B27" s="153">
        <v>1</v>
      </c>
    </row>
    <row r="28" spans="1:2" x14ac:dyDescent="0.25">
      <c r="A28" s="150" t="s">
        <v>189</v>
      </c>
      <c r="B28" s="151">
        <v>1</v>
      </c>
    </row>
    <row r="29" spans="1:2" x14ac:dyDescent="0.25">
      <c r="A29" s="152" t="s">
        <v>233</v>
      </c>
      <c r="B29" s="153">
        <v>2</v>
      </c>
    </row>
    <row r="30" spans="1:2" x14ac:dyDescent="0.25">
      <c r="A30" s="150" t="s">
        <v>260</v>
      </c>
      <c r="B30" s="151">
        <v>1</v>
      </c>
    </row>
    <row r="31" spans="1:2" x14ac:dyDescent="0.25">
      <c r="A31" s="152" t="s">
        <v>164</v>
      </c>
      <c r="B31" s="153">
        <v>3</v>
      </c>
    </row>
    <row r="32" spans="1:2" x14ac:dyDescent="0.25">
      <c r="A32" s="150" t="s">
        <v>217</v>
      </c>
      <c r="B32" s="151">
        <v>2</v>
      </c>
    </row>
    <row r="33" spans="1:2" x14ac:dyDescent="0.25">
      <c r="A33" s="152" t="s">
        <v>211</v>
      </c>
      <c r="B33" s="153">
        <v>1</v>
      </c>
    </row>
    <row r="34" spans="1:2" x14ac:dyDescent="0.25">
      <c r="A34" s="150" t="s">
        <v>197</v>
      </c>
      <c r="B34" s="151">
        <v>3</v>
      </c>
    </row>
    <row r="35" spans="1:2" x14ac:dyDescent="0.25">
      <c r="A35" s="152" t="s">
        <v>254</v>
      </c>
      <c r="B35" s="153">
        <v>1</v>
      </c>
    </row>
    <row r="36" spans="1:2" x14ac:dyDescent="0.25">
      <c r="A36" s="150" t="s">
        <v>185</v>
      </c>
      <c r="B36" s="151">
        <v>1</v>
      </c>
    </row>
    <row r="37" spans="1:2" x14ac:dyDescent="0.25">
      <c r="A37" s="152" t="s">
        <v>231</v>
      </c>
      <c r="B37" s="153">
        <v>2</v>
      </c>
    </row>
    <row r="38" spans="1:2" x14ac:dyDescent="0.25">
      <c r="A38" s="150" t="s">
        <v>193</v>
      </c>
      <c r="B38" s="151">
        <v>1</v>
      </c>
    </row>
    <row r="39" spans="1:2" x14ac:dyDescent="0.25">
      <c r="A39" s="152" t="s">
        <v>201</v>
      </c>
      <c r="B39" s="153">
        <v>1</v>
      </c>
    </row>
    <row r="40" spans="1:2" x14ac:dyDescent="0.25">
      <c r="A40" s="150" t="s">
        <v>256</v>
      </c>
      <c r="B40" s="151">
        <v>1</v>
      </c>
    </row>
    <row r="41" spans="1:2" x14ac:dyDescent="0.25">
      <c r="A41" s="152" t="s">
        <v>248</v>
      </c>
      <c r="B41" s="153">
        <v>3</v>
      </c>
    </row>
    <row r="42" spans="1:2" x14ac:dyDescent="0.25">
      <c r="A42" s="150" t="s">
        <v>207</v>
      </c>
      <c r="B42" s="151">
        <v>1</v>
      </c>
    </row>
    <row r="43" spans="1:2" x14ac:dyDescent="0.25">
      <c r="A43" s="152" t="s">
        <v>215</v>
      </c>
      <c r="B43" s="153">
        <v>2</v>
      </c>
    </row>
    <row r="44" spans="1:2" x14ac:dyDescent="0.25">
      <c r="A44" s="150" t="s">
        <v>227</v>
      </c>
      <c r="B44" s="151">
        <v>1</v>
      </c>
    </row>
    <row r="45" spans="1:2" x14ac:dyDescent="0.25">
      <c r="A45" s="152" t="s">
        <v>225</v>
      </c>
      <c r="B45" s="153">
        <v>1</v>
      </c>
    </row>
    <row r="46" spans="1:2" x14ac:dyDescent="0.25">
      <c r="A46" s="150" t="s">
        <v>264</v>
      </c>
      <c r="B46" s="151">
        <v>2</v>
      </c>
    </row>
    <row r="47" spans="1:2" x14ac:dyDescent="0.25">
      <c r="A47" s="152" t="s">
        <v>252</v>
      </c>
      <c r="B47" s="153">
        <v>1</v>
      </c>
    </row>
    <row r="48" spans="1:2" x14ac:dyDescent="0.25">
      <c r="A48" s="150" t="s">
        <v>258</v>
      </c>
      <c r="B48" s="151">
        <v>1</v>
      </c>
    </row>
    <row r="49" spans="1:2" x14ac:dyDescent="0.25">
      <c r="A49" s="152" t="s">
        <v>173</v>
      </c>
      <c r="B49" s="153">
        <v>1</v>
      </c>
    </row>
    <row r="50" spans="1:2" x14ac:dyDescent="0.25">
      <c r="A50" s="150" t="s">
        <v>213</v>
      </c>
      <c r="B50" s="151">
        <v>4</v>
      </c>
    </row>
    <row r="51" spans="1:2" x14ac:dyDescent="0.25">
      <c r="A51" s="152" t="s">
        <v>199</v>
      </c>
      <c r="B51" s="153">
        <v>2</v>
      </c>
    </row>
    <row r="52" spans="1:2" x14ac:dyDescent="0.25">
      <c r="A52" s="150" t="s">
        <v>223</v>
      </c>
      <c r="B52" s="151">
        <v>1</v>
      </c>
    </row>
    <row r="53" spans="1:2" x14ac:dyDescent="0.25">
      <c r="A53" s="152" t="s">
        <v>175</v>
      </c>
      <c r="B53" s="153">
        <v>5</v>
      </c>
    </row>
    <row r="54" spans="1:2" x14ac:dyDescent="0.25">
      <c r="A54" s="150" t="s">
        <v>187</v>
      </c>
      <c r="B54" s="151">
        <v>1</v>
      </c>
    </row>
    <row r="55" spans="1:2" x14ac:dyDescent="0.25">
      <c r="A55" s="141" t="s">
        <v>507</v>
      </c>
      <c r="B55" s="142">
        <v>91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A185B-C53E-4521-AC37-6A9BF6EA0383}">
  <sheetPr codeName="גיליון15">
    <tabColor theme="7" tint="0.39997558519241921"/>
  </sheetPr>
  <dimension ref="A1"/>
  <sheetViews>
    <sheetView rightToLeft="1" tabSelected="1" zoomScaleNormal="100" workbookViewId="0">
      <selection activeCell="M26" sqref="M26"/>
    </sheetView>
  </sheetViews>
  <sheetFormatPr defaultRowHeight="13.8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2D953-DDD2-42CE-B836-0A0512E789D6}">
  <sheetPr codeName="גיליון7">
    <tabColor rgb="FF66FF66"/>
  </sheetPr>
  <dimension ref="A1:E25"/>
  <sheetViews>
    <sheetView rightToLeft="1" workbookViewId="0">
      <selection activeCell="A5" sqref="A5"/>
    </sheetView>
  </sheetViews>
  <sheetFormatPr defaultColWidth="8.8984375" defaultRowHeight="15" x14ac:dyDescent="0.25"/>
  <cols>
    <col min="1" max="1" width="13" style="44" customWidth="1"/>
    <col min="2" max="2" width="13.296875" style="44" bestFit="1" customWidth="1"/>
    <col min="3" max="3" width="14.59765625" style="44" bestFit="1" customWidth="1"/>
    <col min="4" max="4" width="19" style="44" bestFit="1" customWidth="1"/>
    <col min="5" max="5" width="18.296875" style="44" bestFit="1" customWidth="1"/>
    <col min="6" max="16384" width="8.8984375" style="44"/>
  </cols>
  <sheetData>
    <row r="1" spans="1:5" x14ac:dyDescent="0.25">
      <c r="A1" s="45" t="s">
        <v>474</v>
      </c>
      <c r="B1" s="46" t="s">
        <v>475</v>
      </c>
      <c r="C1" s="47" t="s">
        <v>476</v>
      </c>
      <c r="D1" s="47" t="s">
        <v>477</v>
      </c>
      <c r="E1" s="47" t="s">
        <v>478</v>
      </c>
    </row>
    <row r="2" spans="1:5" x14ac:dyDescent="0.25">
      <c r="A2" s="48" t="s">
        <v>479</v>
      </c>
    </row>
    <row r="3" spans="1:5" x14ac:dyDescent="0.25">
      <c r="A3" s="49" t="s">
        <v>451</v>
      </c>
      <c r="B3" s="50">
        <v>67807</v>
      </c>
      <c r="C3" s="50">
        <v>-1820</v>
      </c>
      <c r="D3" s="50">
        <v>-6095</v>
      </c>
      <c r="E3" s="51">
        <v>5</v>
      </c>
    </row>
    <row r="4" spans="1:5" x14ac:dyDescent="0.25">
      <c r="A4" s="49" t="s">
        <v>452</v>
      </c>
      <c r="B4" s="50">
        <v>60247</v>
      </c>
      <c r="C4" s="50">
        <v>-1247</v>
      </c>
      <c r="D4" s="50">
        <v>-5575</v>
      </c>
      <c r="E4" s="51">
        <v>4</v>
      </c>
    </row>
    <row r="5" spans="1:5" x14ac:dyDescent="0.25">
      <c r="A5" s="49" t="s">
        <v>454</v>
      </c>
      <c r="B5" s="50">
        <v>167803</v>
      </c>
      <c r="C5" s="50">
        <v>-3783</v>
      </c>
      <c r="D5" s="50">
        <v>-13093</v>
      </c>
      <c r="E5" s="51">
        <v>11</v>
      </c>
    </row>
    <row r="6" spans="1:5" x14ac:dyDescent="0.25">
      <c r="A6" s="49" t="s">
        <v>455</v>
      </c>
      <c r="B6" s="50">
        <v>147645</v>
      </c>
      <c r="C6" s="50">
        <v>-3144</v>
      </c>
      <c r="D6" s="50">
        <v>-10611</v>
      </c>
      <c r="E6" s="51">
        <v>10</v>
      </c>
    </row>
    <row r="7" spans="1:5" x14ac:dyDescent="0.25">
      <c r="A7" s="52" t="s">
        <v>480</v>
      </c>
      <c r="B7" s="53"/>
      <c r="C7" s="53"/>
      <c r="D7" s="53"/>
      <c r="E7" s="54"/>
    </row>
    <row r="8" spans="1:5" x14ac:dyDescent="0.25">
      <c r="A8" s="55" t="s">
        <v>451</v>
      </c>
      <c r="B8" s="56">
        <v>90840</v>
      </c>
      <c r="C8" s="56">
        <v>-2533</v>
      </c>
      <c r="D8" s="56">
        <v>-6703</v>
      </c>
      <c r="E8" s="57">
        <v>7</v>
      </c>
    </row>
    <row r="9" spans="1:5" x14ac:dyDescent="0.25">
      <c r="A9" s="55" t="s">
        <v>452</v>
      </c>
      <c r="B9" s="56">
        <v>124524</v>
      </c>
      <c r="C9" s="56">
        <v>-2916</v>
      </c>
      <c r="D9" s="56">
        <v>-8333</v>
      </c>
      <c r="E9" s="57">
        <v>8</v>
      </c>
    </row>
    <row r="10" spans="1:5" x14ac:dyDescent="0.25">
      <c r="A10" s="55" t="s">
        <v>454</v>
      </c>
      <c r="B10" s="56">
        <v>144065</v>
      </c>
      <c r="C10" s="56">
        <v>-2970</v>
      </c>
      <c r="D10" s="56">
        <v>-10443</v>
      </c>
      <c r="E10" s="57">
        <v>10</v>
      </c>
    </row>
    <row r="11" spans="1:5" x14ac:dyDescent="0.25">
      <c r="A11" s="55" t="s">
        <v>455</v>
      </c>
      <c r="B11" s="56">
        <v>98816</v>
      </c>
      <c r="C11" s="56">
        <v>-2308</v>
      </c>
      <c r="D11" s="56">
        <v>-8307</v>
      </c>
      <c r="E11" s="57">
        <v>7</v>
      </c>
    </row>
    <row r="12" spans="1:5" x14ac:dyDescent="0.25">
      <c r="A12" s="52" t="s">
        <v>481</v>
      </c>
      <c r="B12" s="53"/>
      <c r="C12" s="53"/>
      <c r="D12" s="53"/>
      <c r="E12" s="54"/>
    </row>
    <row r="13" spans="1:5" x14ac:dyDescent="0.25">
      <c r="A13" s="58" t="s">
        <v>451</v>
      </c>
      <c r="B13" s="59">
        <v>34728</v>
      </c>
      <c r="C13" s="59">
        <v>-923</v>
      </c>
      <c r="D13" s="59">
        <v>-4049</v>
      </c>
      <c r="E13" s="60">
        <v>3</v>
      </c>
    </row>
    <row r="14" spans="1:5" x14ac:dyDescent="0.25">
      <c r="A14" s="58" t="s">
        <v>452</v>
      </c>
      <c r="B14" s="59">
        <v>42361</v>
      </c>
      <c r="C14" s="59">
        <v>-985</v>
      </c>
      <c r="D14" s="59">
        <v>-2899</v>
      </c>
      <c r="E14" s="60">
        <v>3</v>
      </c>
    </row>
    <row r="15" spans="1:5" x14ac:dyDescent="0.25">
      <c r="A15" s="58" t="s">
        <v>454</v>
      </c>
      <c r="B15" s="59">
        <v>55947</v>
      </c>
      <c r="C15" s="59">
        <v>-1177</v>
      </c>
      <c r="D15" s="59">
        <v>-3615</v>
      </c>
      <c r="E15" s="60">
        <v>4</v>
      </c>
    </row>
    <row r="16" spans="1:5" x14ac:dyDescent="0.25">
      <c r="A16" s="58" t="s">
        <v>455</v>
      </c>
      <c r="B16" s="59">
        <v>29587</v>
      </c>
      <c r="C16" s="59">
        <v>-584</v>
      </c>
      <c r="D16" s="59">
        <v>-2275</v>
      </c>
      <c r="E16" s="60">
        <v>2</v>
      </c>
    </row>
    <row r="17" spans="1:5" x14ac:dyDescent="0.25">
      <c r="A17" s="52" t="s">
        <v>482</v>
      </c>
      <c r="B17" s="53"/>
      <c r="C17" s="53"/>
      <c r="D17" s="53"/>
      <c r="E17" s="54"/>
    </row>
    <row r="18" spans="1:5" x14ac:dyDescent="0.25">
      <c r="A18" s="61" t="s">
        <v>451</v>
      </c>
      <c r="B18" s="62">
        <v>59332</v>
      </c>
      <c r="C18" s="62">
        <v>-1117</v>
      </c>
      <c r="D18" s="62">
        <v>-4108</v>
      </c>
      <c r="E18" s="63">
        <v>4</v>
      </c>
    </row>
    <row r="19" spans="1:5" x14ac:dyDescent="0.25">
      <c r="A19" s="61" t="s">
        <v>452</v>
      </c>
      <c r="B19" s="62">
        <v>53130</v>
      </c>
      <c r="C19" s="62">
        <v>-1016</v>
      </c>
      <c r="D19" s="62">
        <v>-3916</v>
      </c>
      <c r="E19" s="63">
        <v>4</v>
      </c>
    </row>
    <row r="20" spans="1:5" x14ac:dyDescent="0.25">
      <c r="A20" s="61" t="s">
        <v>454</v>
      </c>
      <c r="B20" s="62">
        <v>36532</v>
      </c>
      <c r="C20" s="62">
        <v>-1119</v>
      </c>
      <c r="D20" s="62">
        <v>-3212</v>
      </c>
      <c r="E20" s="63">
        <v>3</v>
      </c>
    </row>
    <row r="21" spans="1:5" x14ac:dyDescent="0.25">
      <c r="A21" s="61" t="s">
        <v>455</v>
      </c>
      <c r="B21" s="62">
        <v>24799</v>
      </c>
      <c r="C21" s="62">
        <v>-762</v>
      </c>
      <c r="D21" s="62">
        <v>-2923</v>
      </c>
      <c r="E21" s="63">
        <v>2</v>
      </c>
    </row>
    <row r="22" spans="1:5" x14ac:dyDescent="0.25">
      <c r="A22" s="52" t="s">
        <v>483</v>
      </c>
      <c r="B22" s="53"/>
      <c r="C22" s="53"/>
      <c r="D22" s="53"/>
      <c r="E22" s="54"/>
    </row>
    <row r="23" spans="1:5" x14ac:dyDescent="0.25">
      <c r="A23" s="64" t="s">
        <v>452</v>
      </c>
      <c r="B23" s="65">
        <v>21519</v>
      </c>
      <c r="C23" s="65">
        <v>-592</v>
      </c>
      <c r="D23" s="65">
        <v>-2519</v>
      </c>
      <c r="E23" s="66">
        <v>2</v>
      </c>
    </row>
    <row r="24" spans="1:5" x14ac:dyDescent="0.25">
      <c r="A24" s="67" t="s">
        <v>455</v>
      </c>
      <c r="B24" s="68">
        <v>35189</v>
      </c>
      <c r="C24" s="68">
        <v>-667</v>
      </c>
      <c r="D24" s="68">
        <v>-2736</v>
      </c>
      <c r="E24" s="69">
        <v>2</v>
      </c>
    </row>
    <row r="25" spans="1:5" x14ac:dyDescent="0.25">
      <c r="A25" s="170" t="s">
        <v>484</v>
      </c>
      <c r="B25" s="70">
        <v>1294871</v>
      </c>
      <c r="C25" s="70">
        <v>-29663</v>
      </c>
      <c r="D25" s="70">
        <v>-101412</v>
      </c>
      <c r="E25" s="71">
        <v>91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284BB-2BC0-4044-B3F3-92E935FBC98A}">
  <sheetPr codeName="גיליון9">
    <tabColor rgb="FFFFC000"/>
  </sheetPr>
  <dimension ref="A1:H34"/>
  <sheetViews>
    <sheetView showGridLines="0" workbookViewId="0">
      <selection activeCell="K6" sqref="K6"/>
    </sheetView>
  </sheetViews>
  <sheetFormatPr defaultRowHeight="13.8" x14ac:dyDescent="0.25"/>
  <cols>
    <col min="1" max="1" width="15" bestFit="1" customWidth="1"/>
    <col min="2" max="2" width="15" customWidth="1"/>
    <col min="3" max="3" width="18.796875" bestFit="1" customWidth="1"/>
    <col min="4" max="5" width="15" customWidth="1"/>
    <col min="6" max="6" width="8.796875" customWidth="1"/>
  </cols>
  <sheetData>
    <row r="1" spans="1:8" ht="15.6" x14ac:dyDescent="0.3">
      <c r="E1" s="72" t="s">
        <v>485</v>
      </c>
    </row>
    <row r="2" spans="1:8" ht="27.6" customHeight="1" x14ac:dyDescent="0.25">
      <c r="A2" s="182" t="s">
        <v>486</v>
      </c>
      <c r="B2" s="182"/>
      <c r="C2" s="182"/>
      <c r="D2" s="182"/>
      <c r="E2" s="182"/>
    </row>
    <row r="3" spans="1:8" ht="13.8" customHeight="1" x14ac:dyDescent="0.25">
      <c r="A3" s="182"/>
      <c r="B3" s="182"/>
      <c r="C3" s="182"/>
      <c r="D3" s="182"/>
      <c r="E3" s="182"/>
    </row>
    <row r="4" spans="1:8" ht="13.8" customHeight="1" x14ac:dyDescent="0.25">
      <c r="A4" s="182"/>
      <c r="B4" s="182"/>
      <c r="C4" s="182"/>
      <c r="D4" s="182"/>
      <c r="E4" s="182"/>
    </row>
    <row r="5" spans="1:8" ht="13.8" customHeight="1" x14ac:dyDescent="0.25">
      <c r="A5" s="182"/>
      <c r="B5" s="182"/>
      <c r="C5" s="182"/>
      <c r="D5" s="182"/>
      <c r="E5" s="182"/>
    </row>
    <row r="6" spans="1:8" ht="13.8" customHeight="1" x14ac:dyDescent="0.25">
      <c r="A6" s="182"/>
      <c r="B6" s="182"/>
      <c r="C6" s="182"/>
      <c r="D6" s="182"/>
      <c r="E6" s="182"/>
    </row>
    <row r="7" spans="1:8" x14ac:dyDescent="0.25">
      <c r="A7" s="182"/>
      <c r="B7" s="182"/>
      <c r="C7" s="182"/>
      <c r="D7" s="182"/>
      <c r="E7" s="182"/>
    </row>
    <row r="8" spans="1:8" x14ac:dyDescent="0.25">
      <c r="A8" s="183" t="s">
        <v>487</v>
      </c>
      <c r="B8" s="183"/>
      <c r="D8" s="73" t="s">
        <v>460</v>
      </c>
      <c r="E8" s="74" t="s">
        <v>459</v>
      </c>
    </row>
    <row r="9" spans="1:8" ht="14.4" thickBot="1" x14ac:dyDescent="0.3">
      <c r="A9" s="75" t="s">
        <v>488</v>
      </c>
      <c r="B9" s="75" t="s">
        <v>489</v>
      </c>
      <c r="D9" s="76"/>
      <c r="E9" s="40"/>
    </row>
    <row r="10" spans="1:8" x14ac:dyDescent="0.25">
      <c r="A10" s="77"/>
      <c r="B10" s="78"/>
    </row>
    <row r="11" spans="1:8" x14ac:dyDescent="0.25">
      <c r="C11" s="39"/>
      <c r="D11" s="39"/>
    </row>
    <row r="12" spans="1:8" x14ac:dyDescent="0.25">
      <c r="C12" s="39"/>
      <c r="D12" s="39"/>
    </row>
    <row r="13" spans="1:8" x14ac:dyDescent="0.25">
      <c r="A13" s="79"/>
      <c r="B13" s="79"/>
      <c r="C13" s="80"/>
      <c r="D13" s="80"/>
    </row>
    <row r="14" spans="1:8" x14ac:dyDescent="0.25">
      <c r="C14" s="81"/>
      <c r="D14" s="81"/>
      <c r="H14" s="82"/>
    </row>
    <row r="15" spans="1:8" x14ac:dyDescent="0.25">
      <c r="A15" s="79"/>
      <c r="B15" s="79"/>
      <c r="C15" s="81"/>
      <c r="D15" s="81"/>
    </row>
    <row r="16" spans="1:8" ht="19.8" customHeight="1" x14ac:dyDescent="0.25"/>
    <row r="17" spans="1:5" ht="15.6" x14ac:dyDescent="0.25">
      <c r="A17" s="83" t="s">
        <v>490</v>
      </c>
      <c r="B17" s="83" t="s">
        <v>491</v>
      </c>
      <c r="C17" s="184" t="s">
        <v>462</v>
      </c>
      <c r="D17" s="184"/>
      <c r="E17" s="83" t="s">
        <v>0</v>
      </c>
    </row>
    <row r="18" spans="1:5" ht="15" x14ac:dyDescent="0.25">
      <c r="A18" s="84"/>
      <c r="B18" s="85" t="s">
        <v>492</v>
      </c>
      <c r="C18" s="180" t="s">
        <v>493</v>
      </c>
      <c r="D18" s="181"/>
      <c r="E18" s="86">
        <v>1</v>
      </c>
    </row>
    <row r="19" spans="1:5" ht="15" x14ac:dyDescent="0.25">
      <c r="A19" s="87"/>
      <c r="B19" s="85" t="s">
        <v>494</v>
      </c>
      <c r="C19" s="180" t="s">
        <v>495</v>
      </c>
      <c r="D19" s="181"/>
      <c r="E19" s="88">
        <v>2</v>
      </c>
    </row>
    <row r="20" spans="1:5" ht="15" x14ac:dyDescent="0.25">
      <c r="A20" s="84"/>
      <c r="B20" s="89" t="s">
        <v>492</v>
      </c>
      <c r="C20" s="180" t="s">
        <v>496</v>
      </c>
      <c r="D20" s="181"/>
      <c r="E20" s="86">
        <v>3</v>
      </c>
    </row>
    <row r="21" spans="1:5" ht="15.6" x14ac:dyDescent="0.25">
      <c r="A21" s="90"/>
      <c r="B21" s="91"/>
      <c r="C21" s="178"/>
      <c r="D21" s="179"/>
      <c r="E21" s="92"/>
    </row>
    <row r="22" spans="1:5" ht="18" customHeight="1" x14ac:dyDescent="0.25">
      <c r="A22" s="93"/>
      <c r="B22" s="94"/>
      <c r="C22" s="172"/>
      <c r="D22" s="173"/>
      <c r="E22" s="94"/>
    </row>
    <row r="23" spans="1:5" ht="18" customHeight="1" x14ac:dyDescent="0.25">
      <c r="A23" s="93"/>
      <c r="B23" s="94"/>
      <c r="C23" s="172"/>
      <c r="D23" s="173"/>
      <c r="E23" s="94"/>
    </row>
    <row r="24" spans="1:5" ht="18" customHeight="1" x14ac:dyDescent="0.25">
      <c r="A24" s="94"/>
      <c r="B24" s="94"/>
      <c r="C24" s="172"/>
      <c r="D24" s="173"/>
      <c r="E24" s="94"/>
    </row>
    <row r="25" spans="1:5" ht="18" customHeight="1" x14ac:dyDescent="0.25">
      <c r="A25" s="94"/>
      <c r="B25" s="94"/>
      <c r="C25" s="172"/>
      <c r="D25" s="173"/>
      <c r="E25" s="94"/>
    </row>
    <row r="26" spans="1:5" ht="18" customHeight="1" x14ac:dyDescent="0.25">
      <c r="A26" s="94"/>
      <c r="B26" s="94"/>
      <c r="C26" s="172"/>
      <c r="D26" s="173"/>
      <c r="E26" s="94"/>
    </row>
    <row r="27" spans="1:5" ht="18" customHeight="1" x14ac:dyDescent="0.25">
      <c r="A27" s="94"/>
      <c r="B27" s="94"/>
      <c r="C27" s="172"/>
      <c r="D27" s="173"/>
      <c r="E27" s="94"/>
    </row>
    <row r="28" spans="1:5" ht="15.6" x14ac:dyDescent="0.25">
      <c r="A28" s="90"/>
      <c r="B28" s="174" t="s">
        <v>497</v>
      </c>
      <c r="C28" s="175"/>
      <c r="D28" s="175"/>
      <c r="E28" s="175"/>
    </row>
    <row r="29" spans="1:5" ht="15.6" x14ac:dyDescent="0.25">
      <c r="A29" s="95">
        <f>SUM(A18:A20)</f>
        <v>0</v>
      </c>
      <c r="B29" s="176" t="s">
        <v>484</v>
      </c>
      <c r="C29" s="176"/>
      <c r="D29" s="176"/>
      <c r="E29" s="176"/>
    </row>
    <row r="30" spans="1:5" ht="17.399999999999999" customHeight="1" x14ac:dyDescent="0.25"/>
    <row r="31" spans="1:5" ht="15" x14ac:dyDescent="0.25">
      <c r="A31" s="96"/>
      <c r="B31" s="97"/>
      <c r="C31" s="97"/>
      <c r="D31" s="97"/>
    </row>
    <row r="34" spans="1:5" ht="28.2" x14ac:dyDescent="0.25">
      <c r="A34" s="177" t="s">
        <v>498</v>
      </c>
      <c r="B34" s="177"/>
      <c r="C34" s="177"/>
      <c r="D34" s="177"/>
      <c r="E34" s="177"/>
    </row>
  </sheetData>
  <mergeCells count="16">
    <mergeCell ref="C20:D20"/>
    <mergeCell ref="A2:E7"/>
    <mergeCell ref="A8:B8"/>
    <mergeCell ref="C17:D17"/>
    <mergeCell ref="C18:D18"/>
    <mergeCell ref="C19:D19"/>
    <mergeCell ref="C27:D27"/>
    <mergeCell ref="B28:E28"/>
    <mergeCell ref="B29:E29"/>
    <mergeCell ref="A34:E34"/>
    <mergeCell ref="C21:D21"/>
    <mergeCell ref="C22:D22"/>
    <mergeCell ref="C23:D23"/>
    <mergeCell ref="C24:D24"/>
    <mergeCell ref="C25:D25"/>
    <mergeCell ref="C26:D2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14</vt:i4>
      </vt:variant>
    </vt:vector>
  </HeadingPairs>
  <TitlesOfParts>
    <vt:vector size="14" baseType="lpstr">
      <vt:lpstr>Propeties-DB</vt:lpstr>
      <vt:lpstr>Mangers-DB</vt:lpstr>
      <vt:lpstr>Clients-DB</vt:lpstr>
      <vt:lpstr>Rentals-DB</vt:lpstr>
      <vt:lpstr>Alerts &amp; Reminders-DB</vt:lpstr>
      <vt:lpstr>Income&amp;Expenses-DB</vt:lpstr>
      <vt:lpstr>Chart1</vt:lpstr>
      <vt:lpstr>Chart2</vt:lpstr>
      <vt:lpstr>Chart3</vt:lpstr>
      <vt:lpstr>Chart4</vt:lpstr>
      <vt:lpstr>Chart5</vt:lpstr>
      <vt:lpstr>גרפים</vt:lpstr>
      <vt:lpstr>DATA_ANALAYS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USER-W10</dc:creator>
  <cp:lastModifiedBy>USER-W10</cp:lastModifiedBy>
  <cp:lastPrinted>2021-06-16T15:55:15Z</cp:lastPrinted>
  <dcterms:created xsi:type="dcterms:W3CDTF">2021-06-10T19:03:32Z</dcterms:created>
  <dcterms:modified xsi:type="dcterms:W3CDTF">2022-01-10T21:34:26Z</dcterms:modified>
</cp:coreProperties>
</file>